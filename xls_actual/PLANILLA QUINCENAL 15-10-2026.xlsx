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sol\Downloads\"/>
    </mc:Choice>
  </mc:AlternateContent>
  <xr:revisionPtr revIDLastSave="0" documentId="13_ncr:1_{FFB51BE4-E694-497A-8F49-6298E27FDB72}" xr6:coauthVersionLast="47" xr6:coauthVersionMax="47" xr10:uidLastSave="{00000000-0000-0000-0000-000000000000}"/>
  <bookViews>
    <workbookView xWindow="-120" yWindow="-120" windowWidth="20730" windowHeight="11040" xr2:uid="{C9F2B022-F4AC-4FF8-B32F-193CA2E6535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58" i="1" l="1"/>
  <c r="J458" i="1"/>
  <c r="I458" i="1"/>
  <c r="K457" i="1"/>
  <c r="J457" i="1"/>
  <c r="I457" i="1"/>
  <c r="K456" i="1"/>
  <c r="J456" i="1"/>
  <c r="I456" i="1"/>
  <c r="K455" i="1"/>
  <c r="J455" i="1"/>
  <c r="I455" i="1"/>
  <c r="H455" i="1"/>
  <c r="L455" i="1" s="1"/>
  <c r="K454" i="1"/>
  <c r="J454" i="1"/>
  <c r="I454" i="1"/>
  <c r="K453" i="1"/>
  <c r="J453" i="1"/>
  <c r="I453" i="1"/>
  <c r="K452" i="1"/>
  <c r="J452" i="1"/>
  <c r="I452" i="1"/>
  <c r="K451" i="1"/>
  <c r="J451" i="1"/>
  <c r="I451" i="1"/>
  <c r="K450" i="1"/>
  <c r="J450" i="1"/>
  <c r="I450" i="1"/>
  <c r="H450" i="1"/>
  <c r="L450" i="1" s="1"/>
  <c r="K449" i="1"/>
  <c r="J449" i="1"/>
  <c r="I449" i="1"/>
  <c r="K448" i="1"/>
  <c r="J448" i="1"/>
  <c r="I448" i="1"/>
  <c r="K447" i="1"/>
  <c r="J447" i="1"/>
  <c r="I447" i="1"/>
  <c r="K446" i="1"/>
  <c r="J446" i="1"/>
  <c r="I446" i="1"/>
  <c r="K445" i="1"/>
  <c r="K461" i="1" s="1"/>
  <c r="J445" i="1"/>
  <c r="J461" i="1" s="1"/>
  <c r="I445" i="1"/>
  <c r="I461" i="1" s="1"/>
  <c r="K433" i="1"/>
  <c r="G433" i="1"/>
  <c r="H433" i="1" s="1"/>
  <c r="E433" i="1"/>
  <c r="L433" i="1" s="1"/>
  <c r="K432" i="1"/>
  <c r="H432" i="1"/>
  <c r="L432" i="1" s="1"/>
  <c r="G432" i="1"/>
  <c r="E432" i="1"/>
  <c r="K431" i="1"/>
  <c r="G431" i="1"/>
  <c r="H431" i="1" s="1"/>
  <c r="L431" i="1" s="1"/>
  <c r="E431" i="1"/>
  <c r="K430" i="1"/>
  <c r="K437" i="1" s="1"/>
  <c r="P424" i="1" s="1"/>
  <c r="H430" i="1"/>
  <c r="G430" i="1"/>
  <c r="E430" i="1"/>
  <c r="L430" i="1" s="1"/>
  <c r="K429" i="1"/>
  <c r="G429" i="1"/>
  <c r="H429" i="1" s="1"/>
  <c r="E429" i="1"/>
  <c r="O428" i="1"/>
  <c r="K428" i="1"/>
  <c r="G428" i="1"/>
  <c r="H428" i="1" s="1"/>
  <c r="L428" i="1" s="1"/>
  <c r="E428" i="1"/>
  <c r="K427" i="1"/>
  <c r="H427" i="1"/>
  <c r="G427" i="1"/>
  <c r="E427" i="1"/>
  <c r="L427" i="1" s="1"/>
  <c r="K426" i="1"/>
  <c r="G426" i="1"/>
  <c r="H426" i="1" s="1"/>
  <c r="E426" i="1"/>
  <c r="K425" i="1"/>
  <c r="H425" i="1"/>
  <c r="L425" i="1" s="1"/>
  <c r="G425" i="1"/>
  <c r="E425" i="1"/>
  <c r="K424" i="1"/>
  <c r="G424" i="1"/>
  <c r="H424" i="1" s="1"/>
  <c r="L424" i="1" s="1"/>
  <c r="E424" i="1"/>
  <c r="L423" i="1"/>
  <c r="K423" i="1"/>
  <c r="H423" i="1"/>
  <c r="G423" i="1"/>
  <c r="E423" i="1"/>
  <c r="K422" i="1"/>
  <c r="H422" i="1"/>
  <c r="G422" i="1"/>
  <c r="E422" i="1"/>
  <c r="L422" i="1" s="1"/>
  <c r="Q421" i="1"/>
  <c r="P422" i="1" s="1"/>
  <c r="O421" i="1"/>
  <c r="K421" i="1"/>
  <c r="H421" i="1"/>
  <c r="L421" i="1" s="1"/>
  <c r="G421" i="1"/>
  <c r="E421" i="1"/>
  <c r="K420" i="1"/>
  <c r="H420" i="1"/>
  <c r="G420" i="1"/>
  <c r="E420" i="1"/>
  <c r="L420" i="1" s="1"/>
  <c r="K419" i="1"/>
  <c r="G419" i="1"/>
  <c r="H419" i="1" s="1"/>
  <c r="E419" i="1"/>
  <c r="L403" i="1"/>
  <c r="K403" i="1"/>
  <c r="H403" i="1"/>
  <c r="G403" i="1"/>
  <c r="E403" i="1"/>
  <c r="K402" i="1"/>
  <c r="H402" i="1"/>
  <c r="G402" i="1"/>
  <c r="E402" i="1"/>
  <c r="L402" i="1" s="1"/>
  <c r="K401" i="1"/>
  <c r="G401" i="1"/>
  <c r="H401" i="1" s="1"/>
  <c r="E401" i="1"/>
  <c r="L401" i="1" s="1"/>
  <c r="K400" i="1"/>
  <c r="H400" i="1"/>
  <c r="L400" i="1" s="1"/>
  <c r="G400" i="1"/>
  <c r="E400" i="1"/>
  <c r="K399" i="1"/>
  <c r="H399" i="1"/>
  <c r="L399" i="1" s="1"/>
  <c r="G399" i="1"/>
  <c r="E399" i="1"/>
  <c r="O398" i="1"/>
  <c r="L398" i="1"/>
  <c r="K398" i="1"/>
  <c r="H398" i="1"/>
  <c r="G398" i="1"/>
  <c r="E398" i="1"/>
  <c r="K397" i="1"/>
  <c r="G397" i="1"/>
  <c r="H397" i="1" s="1"/>
  <c r="E397" i="1"/>
  <c r="L397" i="1" s="1"/>
  <c r="L396" i="1"/>
  <c r="K396" i="1"/>
  <c r="H396" i="1"/>
  <c r="G396" i="1"/>
  <c r="E396" i="1"/>
  <c r="K395" i="1"/>
  <c r="G395" i="1"/>
  <c r="H395" i="1" s="1"/>
  <c r="E395" i="1"/>
  <c r="L395" i="1" s="1"/>
  <c r="K394" i="1"/>
  <c r="G394" i="1"/>
  <c r="H394" i="1" s="1"/>
  <c r="E394" i="1"/>
  <c r="K393" i="1"/>
  <c r="G393" i="1"/>
  <c r="H393" i="1" s="1"/>
  <c r="L393" i="1" s="1"/>
  <c r="E393" i="1"/>
  <c r="K392" i="1"/>
  <c r="H392" i="1"/>
  <c r="G392" i="1"/>
  <c r="E392" i="1"/>
  <c r="L392" i="1" s="1"/>
  <c r="Q391" i="1"/>
  <c r="P392" i="1" s="1"/>
  <c r="L391" i="1"/>
  <c r="K391" i="1"/>
  <c r="H391" i="1"/>
  <c r="G391" i="1"/>
  <c r="E391" i="1"/>
  <c r="K390" i="1"/>
  <c r="K407" i="1" s="1"/>
  <c r="P394" i="1" s="1"/>
  <c r="G390" i="1"/>
  <c r="H390" i="1" s="1"/>
  <c r="E390" i="1"/>
  <c r="L390" i="1" s="1"/>
  <c r="L389" i="1"/>
  <c r="K389" i="1"/>
  <c r="H389" i="1"/>
  <c r="G389" i="1"/>
  <c r="E389" i="1"/>
  <c r="L373" i="1"/>
  <c r="K373" i="1"/>
  <c r="H373" i="1"/>
  <c r="G373" i="1"/>
  <c r="E373" i="1"/>
  <c r="Q372" i="1"/>
  <c r="K372" i="1"/>
  <c r="G372" i="1"/>
  <c r="H372" i="1" s="1"/>
  <c r="E372" i="1"/>
  <c r="L371" i="1"/>
  <c r="K371" i="1"/>
  <c r="H371" i="1"/>
  <c r="G371" i="1"/>
  <c r="E371" i="1"/>
  <c r="K370" i="1"/>
  <c r="G370" i="1"/>
  <c r="H370" i="1" s="1"/>
  <c r="E370" i="1"/>
  <c r="L370" i="1" s="1"/>
  <c r="L369" i="1"/>
  <c r="K369" i="1"/>
  <c r="H369" i="1"/>
  <c r="G369" i="1"/>
  <c r="E369" i="1"/>
  <c r="O368" i="1"/>
  <c r="K368" i="1"/>
  <c r="H368" i="1"/>
  <c r="L368" i="1" s="1"/>
  <c r="G368" i="1"/>
  <c r="E368" i="1"/>
  <c r="K367" i="1"/>
  <c r="H367" i="1"/>
  <c r="L367" i="1" s="1"/>
  <c r="G367" i="1"/>
  <c r="E367" i="1"/>
  <c r="L366" i="1"/>
  <c r="K366" i="1"/>
  <c r="H366" i="1"/>
  <c r="G366" i="1"/>
  <c r="E366" i="1"/>
  <c r="K365" i="1"/>
  <c r="H365" i="1"/>
  <c r="G365" i="1"/>
  <c r="E365" i="1"/>
  <c r="L365" i="1" s="1"/>
  <c r="K364" i="1"/>
  <c r="G364" i="1"/>
  <c r="H364" i="1" s="1"/>
  <c r="L364" i="1" s="1"/>
  <c r="E364" i="1"/>
  <c r="K363" i="1"/>
  <c r="G363" i="1"/>
  <c r="H363" i="1" s="1"/>
  <c r="E363" i="1"/>
  <c r="L363" i="1" s="1"/>
  <c r="P362" i="1"/>
  <c r="K362" i="1"/>
  <c r="G362" i="1"/>
  <c r="H362" i="1" s="1"/>
  <c r="E362" i="1"/>
  <c r="O361" i="1"/>
  <c r="K361" i="1"/>
  <c r="G361" i="1"/>
  <c r="H361" i="1" s="1"/>
  <c r="L361" i="1" s="1"/>
  <c r="E361" i="1"/>
  <c r="K360" i="1"/>
  <c r="G360" i="1"/>
  <c r="H360" i="1" s="1"/>
  <c r="E360" i="1"/>
  <c r="K359" i="1"/>
  <c r="K377" i="1" s="1"/>
  <c r="P364" i="1" s="1"/>
  <c r="H359" i="1"/>
  <c r="G359" i="1"/>
  <c r="E359" i="1"/>
  <c r="K343" i="1"/>
  <c r="H343" i="1"/>
  <c r="L343" i="1" s="1"/>
  <c r="G343" i="1"/>
  <c r="E343" i="1"/>
  <c r="K342" i="1"/>
  <c r="G342" i="1"/>
  <c r="H342" i="1" s="1"/>
  <c r="L342" i="1" s="1"/>
  <c r="E342" i="1"/>
  <c r="K341" i="1"/>
  <c r="L341" i="1" s="1"/>
  <c r="H341" i="1"/>
  <c r="G341" i="1"/>
  <c r="E341" i="1"/>
  <c r="K340" i="1"/>
  <c r="G340" i="1"/>
  <c r="H340" i="1" s="1"/>
  <c r="E340" i="1"/>
  <c r="L340" i="1" s="1"/>
  <c r="K339" i="1"/>
  <c r="G339" i="1"/>
  <c r="H339" i="1" s="1"/>
  <c r="L339" i="1" s="1"/>
  <c r="E339" i="1"/>
  <c r="O338" i="1"/>
  <c r="K338" i="1"/>
  <c r="G338" i="1"/>
  <c r="H338" i="1" s="1"/>
  <c r="E338" i="1"/>
  <c r="L337" i="1"/>
  <c r="K337" i="1"/>
  <c r="H337" i="1"/>
  <c r="G337" i="1"/>
  <c r="E337" i="1"/>
  <c r="K336" i="1"/>
  <c r="H336" i="1"/>
  <c r="L336" i="1" s="1"/>
  <c r="G336" i="1"/>
  <c r="E336" i="1"/>
  <c r="K335" i="1"/>
  <c r="H335" i="1"/>
  <c r="L335" i="1" s="1"/>
  <c r="G335" i="1"/>
  <c r="E335" i="1"/>
  <c r="K334" i="1"/>
  <c r="L334" i="1" s="1"/>
  <c r="H334" i="1"/>
  <c r="G334" i="1"/>
  <c r="E334" i="1"/>
  <c r="K333" i="1"/>
  <c r="H333" i="1"/>
  <c r="G333" i="1"/>
  <c r="E333" i="1"/>
  <c r="L333" i="1" s="1"/>
  <c r="P332" i="1"/>
  <c r="K332" i="1"/>
  <c r="G332" i="1"/>
  <c r="H332" i="1" s="1"/>
  <c r="E332" i="1"/>
  <c r="L332" i="1" s="1"/>
  <c r="Q331" i="1"/>
  <c r="O331" i="1"/>
  <c r="K331" i="1"/>
  <c r="H331" i="1"/>
  <c r="G331" i="1"/>
  <c r="E331" i="1"/>
  <c r="L331" i="1" s="1"/>
  <c r="K330" i="1"/>
  <c r="G330" i="1"/>
  <c r="H330" i="1" s="1"/>
  <c r="E330" i="1"/>
  <c r="L330" i="1" s="1"/>
  <c r="K329" i="1"/>
  <c r="K347" i="1" s="1"/>
  <c r="P334" i="1" s="1"/>
  <c r="H329" i="1"/>
  <c r="G329" i="1"/>
  <c r="E329" i="1"/>
  <c r="K312" i="1"/>
  <c r="G312" i="1"/>
  <c r="H312" i="1" s="1"/>
  <c r="E312" i="1"/>
  <c r="L312" i="1" s="1"/>
  <c r="K311" i="1"/>
  <c r="G311" i="1"/>
  <c r="H311" i="1" s="1"/>
  <c r="E311" i="1"/>
  <c r="L311" i="1" s="1"/>
  <c r="K310" i="1"/>
  <c r="H310" i="1"/>
  <c r="L310" i="1" s="1"/>
  <c r="G310" i="1"/>
  <c r="E310" i="1"/>
  <c r="K309" i="1"/>
  <c r="H309" i="1"/>
  <c r="G309" i="1"/>
  <c r="E309" i="1"/>
  <c r="L309" i="1" s="1"/>
  <c r="K308" i="1"/>
  <c r="H308" i="1"/>
  <c r="G308" i="1"/>
  <c r="E308" i="1"/>
  <c r="L308" i="1" s="1"/>
  <c r="O307" i="1"/>
  <c r="K307" i="1"/>
  <c r="H307" i="1"/>
  <c r="G307" i="1"/>
  <c r="E307" i="1"/>
  <c r="L307" i="1" s="1"/>
  <c r="L306" i="1"/>
  <c r="K306" i="1"/>
  <c r="H306" i="1"/>
  <c r="G306" i="1"/>
  <c r="E306" i="1"/>
  <c r="K305" i="1"/>
  <c r="G305" i="1"/>
  <c r="H305" i="1" s="1"/>
  <c r="E305" i="1"/>
  <c r="L305" i="1" s="1"/>
  <c r="K304" i="1"/>
  <c r="H304" i="1"/>
  <c r="L304" i="1" s="1"/>
  <c r="G304" i="1"/>
  <c r="E304" i="1"/>
  <c r="K303" i="1"/>
  <c r="H303" i="1"/>
  <c r="L303" i="1" s="1"/>
  <c r="G303" i="1"/>
  <c r="E303" i="1"/>
  <c r="K302" i="1"/>
  <c r="G302" i="1"/>
  <c r="H302" i="1" s="1"/>
  <c r="L302" i="1" s="1"/>
  <c r="E302" i="1"/>
  <c r="P301" i="1"/>
  <c r="L301" i="1"/>
  <c r="K301" i="1"/>
  <c r="H301" i="1"/>
  <c r="G301" i="1"/>
  <c r="E301" i="1"/>
  <c r="Q300" i="1"/>
  <c r="O300" i="1"/>
  <c r="K300" i="1"/>
  <c r="K316" i="1" s="1"/>
  <c r="P303" i="1" s="1"/>
  <c r="G300" i="1"/>
  <c r="H300" i="1" s="1"/>
  <c r="L300" i="1" s="1"/>
  <c r="E300" i="1"/>
  <c r="K299" i="1"/>
  <c r="G299" i="1"/>
  <c r="H299" i="1" s="1"/>
  <c r="L299" i="1" s="1"/>
  <c r="E299" i="1"/>
  <c r="K298" i="1"/>
  <c r="G298" i="1"/>
  <c r="H298" i="1" s="1"/>
  <c r="E298" i="1"/>
  <c r="K281" i="1"/>
  <c r="H281" i="1"/>
  <c r="L281" i="1" s="1"/>
  <c r="E281" i="1"/>
  <c r="K280" i="1"/>
  <c r="G280" i="1"/>
  <c r="H280" i="1" s="1"/>
  <c r="E280" i="1"/>
  <c r="L280" i="1" s="1"/>
  <c r="K279" i="1"/>
  <c r="G279" i="1"/>
  <c r="H279" i="1" s="1"/>
  <c r="E279" i="1"/>
  <c r="L279" i="1" s="1"/>
  <c r="K278" i="1"/>
  <c r="G278" i="1"/>
  <c r="H278" i="1" s="1"/>
  <c r="L278" i="1" s="1"/>
  <c r="E278" i="1"/>
  <c r="K277" i="1"/>
  <c r="H277" i="1"/>
  <c r="G277" i="1"/>
  <c r="E277" i="1"/>
  <c r="L277" i="1" s="1"/>
  <c r="O276" i="1"/>
  <c r="K276" i="1"/>
  <c r="H276" i="1"/>
  <c r="G276" i="1"/>
  <c r="E276" i="1"/>
  <c r="L276" i="1" s="1"/>
  <c r="K275" i="1"/>
  <c r="H275" i="1"/>
  <c r="G275" i="1"/>
  <c r="E275" i="1"/>
  <c r="L275" i="1" s="1"/>
  <c r="K274" i="1"/>
  <c r="H274" i="1"/>
  <c r="G274" i="1"/>
  <c r="E274" i="1"/>
  <c r="L274" i="1" s="1"/>
  <c r="L273" i="1"/>
  <c r="K273" i="1"/>
  <c r="H273" i="1"/>
  <c r="G273" i="1"/>
  <c r="E273" i="1"/>
  <c r="K272" i="1"/>
  <c r="G272" i="1"/>
  <c r="H272" i="1" s="1"/>
  <c r="E272" i="1"/>
  <c r="L272" i="1" s="1"/>
  <c r="K271" i="1"/>
  <c r="H271" i="1"/>
  <c r="G271" i="1"/>
  <c r="E271" i="1"/>
  <c r="L271" i="1" s="1"/>
  <c r="P270" i="1"/>
  <c r="K270" i="1"/>
  <c r="H270" i="1"/>
  <c r="L270" i="1" s="1"/>
  <c r="G270" i="1"/>
  <c r="E270" i="1"/>
  <c r="Q269" i="1"/>
  <c r="O269" i="1"/>
  <c r="K269" i="1"/>
  <c r="H269" i="1"/>
  <c r="G269" i="1"/>
  <c r="E269" i="1"/>
  <c r="L269" i="1" s="1"/>
  <c r="L268" i="1"/>
  <c r="K268" i="1"/>
  <c r="H268" i="1"/>
  <c r="G268" i="1"/>
  <c r="E268" i="1"/>
  <c r="K267" i="1"/>
  <c r="K285" i="1" s="1"/>
  <c r="P272" i="1" s="1"/>
  <c r="H267" i="1"/>
  <c r="E267" i="1"/>
  <c r="L267" i="1" s="1"/>
  <c r="K250" i="1"/>
  <c r="H250" i="1"/>
  <c r="G250" i="1"/>
  <c r="E250" i="1"/>
  <c r="L250" i="1" s="1"/>
  <c r="K249" i="1"/>
  <c r="L249" i="1" s="1"/>
  <c r="H249" i="1"/>
  <c r="G249" i="1"/>
  <c r="E249" i="1"/>
  <c r="K248" i="1"/>
  <c r="G248" i="1"/>
  <c r="H248" i="1" s="1"/>
  <c r="E248" i="1"/>
  <c r="L248" i="1" s="1"/>
  <c r="K247" i="1"/>
  <c r="K254" i="1" s="1"/>
  <c r="P241" i="1" s="1"/>
  <c r="G247" i="1"/>
  <c r="H247" i="1" s="1"/>
  <c r="L247" i="1" s="1"/>
  <c r="E247" i="1"/>
  <c r="K246" i="1"/>
  <c r="G246" i="1"/>
  <c r="H246" i="1" s="1"/>
  <c r="L246" i="1" s="1"/>
  <c r="E246" i="1"/>
  <c r="O245" i="1"/>
  <c r="K245" i="1"/>
  <c r="G245" i="1"/>
  <c r="H245" i="1" s="1"/>
  <c r="L245" i="1" s="1"/>
  <c r="E245" i="1"/>
  <c r="K244" i="1"/>
  <c r="H244" i="1"/>
  <c r="G244" i="1"/>
  <c r="E244" i="1"/>
  <c r="L244" i="1" s="1"/>
  <c r="K243" i="1"/>
  <c r="H243" i="1"/>
  <c r="G243" i="1"/>
  <c r="E243" i="1"/>
  <c r="L243" i="1" s="1"/>
  <c r="K242" i="1"/>
  <c r="H242" i="1"/>
  <c r="G242" i="1"/>
  <c r="E242" i="1"/>
  <c r="L242" i="1" s="1"/>
  <c r="K241" i="1"/>
  <c r="G241" i="1"/>
  <c r="H241" i="1" s="1"/>
  <c r="E241" i="1"/>
  <c r="L241" i="1" s="1"/>
  <c r="L240" i="1"/>
  <c r="K240" i="1"/>
  <c r="H240" i="1"/>
  <c r="G240" i="1"/>
  <c r="E240" i="1"/>
  <c r="K239" i="1"/>
  <c r="G239" i="1"/>
  <c r="H239" i="1" s="1"/>
  <c r="E239" i="1"/>
  <c r="L239" i="1" s="1"/>
  <c r="Q238" i="1"/>
  <c r="P239" i="1" s="1"/>
  <c r="O238" i="1"/>
  <c r="K238" i="1"/>
  <c r="G238" i="1"/>
  <c r="H238" i="1" s="1"/>
  <c r="E238" i="1"/>
  <c r="L238" i="1" s="1"/>
  <c r="K237" i="1"/>
  <c r="H237" i="1"/>
  <c r="L237" i="1" s="1"/>
  <c r="G237" i="1"/>
  <c r="E237" i="1"/>
  <c r="K236" i="1"/>
  <c r="H236" i="1"/>
  <c r="G236" i="1"/>
  <c r="E236" i="1"/>
  <c r="L236" i="1" s="1"/>
  <c r="K216" i="1"/>
  <c r="H216" i="1"/>
  <c r="G216" i="1"/>
  <c r="E216" i="1"/>
  <c r="L216" i="1" s="1"/>
  <c r="K215" i="1"/>
  <c r="H215" i="1"/>
  <c r="L215" i="1" s="1"/>
  <c r="G215" i="1"/>
  <c r="E215" i="1"/>
  <c r="K214" i="1"/>
  <c r="H214" i="1"/>
  <c r="G214" i="1"/>
  <c r="E214" i="1"/>
  <c r="L214" i="1" s="1"/>
  <c r="K213" i="1"/>
  <c r="H213" i="1"/>
  <c r="G213" i="1"/>
  <c r="E213" i="1"/>
  <c r="L213" i="1" s="1"/>
  <c r="K212" i="1"/>
  <c r="G212" i="1"/>
  <c r="H212" i="1" s="1"/>
  <c r="E212" i="1"/>
  <c r="L212" i="1" s="1"/>
  <c r="O211" i="1"/>
  <c r="L211" i="1"/>
  <c r="K211" i="1"/>
  <c r="H211" i="1"/>
  <c r="G211" i="1"/>
  <c r="E211" i="1"/>
  <c r="K210" i="1"/>
  <c r="H210" i="1"/>
  <c r="G210" i="1"/>
  <c r="E210" i="1"/>
  <c r="L210" i="1" s="1"/>
  <c r="K209" i="1"/>
  <c r="H209" i="1"/>
  <c r="G209" i="1"/>
  <c r="E209" i="1"/>
  <c r="L209" i="1" s="1"/>
  <c r="K208" i="1"/>
  <c r="G208" i="1"/>
  <c r="H208" i="1" s="1"/>
  <c r="L208" i="1" s="1"/>
  <c r="E208" i="1"/>
  <c r="K207" i="1"/>
  <c r="H207" i="1"/>
  <c r="G207" i="1"/>
  <c r="E207" i="1"/>
  <c r="L207" i="1" s="1"/>
  <c r="K206" i="1"/>
  <c r="K220" i="1" s="1"/>
  <c r="P207" i="1" s="1"/>
  <c r="H206" i="1"/>
  <c r="G206" i="1"/>
  <c r="E206" i="1"/>
  <c r="K205" i="1"/>
  <c r="H205" i="1"/>
  <c r="G205" i="1"/>
  <c r="E205" i="1"/>
  <c r="L205" i="1" s="1"/>
  <c r="Q204" i="1"/>
  <c r="P205" i="1" s="1"/>
  <c r="O204" i="1"/>
  <c r="K204" i="1"/>
  <c r="G204" i="1"/>
  <c r="H204" i="1" s="1"/>
  <c r="L204" i="1" s="1"/>
  <c r="E204" i="1"/>
  <c r="K203" i="1"/>
  <c r="G203" i="1"/>
  <c r="H203" i="1" s="1"/>
  <c r="E203" i="1"/>
  <c r="K202" i="1"/>
  <c r="H202" i="1"/>
  <c r="G202" i="1"/>
  <c r="E202" i="1"/>
  <c r="L202" i="1" s="1"/>
  <c r="K186" i="1"/>
  <c r="G186" i="1"/>
  <c r="H186" i="1" s="1"/>
  <c r="L186" i="1" s="1"/>
  <c r="E186" i="1"/>
  <c r="Q185" i="1"/>
  <c r="K185" i="1"/>
  <c r="G185" i="1"/>
  <c r="H185" i="1" s="1"/>
  <c r="E185" i="1"/>
  <c r="L185" i="1" s="1"/>
  <c r="K184" i="1"/>
  <c r="H184" i="1"/>
  <c r="G184" i="1"/>
  <c r="E184" i="1"/>
  <c r="L184" i="1" s="1"/>
  <c r="K183" i="1"/>
  <c r="G183" i="1"/>
  <c r="H183" i="1" s="1"/>
  <c r="E183" i="1"/>
  <c r="K182" i="1"/>
  <c r="G182" i="1"/>
  <c r="H182" i="1" s="1"/>
  <c r="L182" i="1" s="1"/>
  <c r="E182" i="1"/>
  <c r="O181" i="1"/>
  <c r="K181" i="1"/>
  <c r="H181" i="1"/>
  <c r="G181" i="1"/>
  <c r="E181" i="1"/>
  <c r="L181" i="1" s="1"/>
  <c r="K180" i="1"/>
  <c r="G180" i="1"/>
  <c r="H180" i="1" s="1"/>
  <c r="E180" i="1"/>
  <c r="L180" i="1" s="1"/>
  <c r="K179" i="1"/>
  <c r="L179" i="1" s="1"/>
  <c r="H179" i="1"/>
  <c r="G179" i="1"/>
  <c r="E179" i="1"/>
  <c r="K178" i="1"/>
  <c r="H178" i="1"/>
  <c r="G178" i="1"/>
  <c r="E178" i="1"/>
  <c r="L178" i="1" s="1"/>
  <c r="K177" i="1"/>
  <c r="G177" i="1"/>
  <c r="H177" i="1" s="1"/>
  <c r="L177" i="1" s="1"/>
  <c r="E177" i="1"/>
  <c r="K176" i="1"/>
  <c r="G176" i="1"/>
  <c r="H176" i="1" s="1"/>
  <c r="E176" i="1"/>
  <c r="L176" i="1" s="1"/>
  <c r="P175" i="1"/>
  <c r="K175" i="1"/>
  <c r="H175" i="1"/>
  <c r="G175" i="1"/>
  <c r="E175" i="1"/>
  <c r="L175" i="1" s="1"/>
  <c r="O174" i="1"/>
  <c r="K174" i="1"/>
  <c r="L174" i="1" s="1"/>
  <c r="H174" i="1"/>
  <c r="G174" i="1"/>
  <c r="E174" i="1"/>
  <c r="K173" i="1"/>
  <c r="G173" i="1"/>
  <c r="H173" i="1" s="1"/>
  <c r="E173" i="1"/>
  <c r="L173" i="1" s="1"/>
  <c r="K172" i="1"/>
  <c r="K189" i="1" s="1"/>
  <c r="P177" i="1" s="1"/>
  <c r="H172" i="1"/>
  <c r="G172" i="1"/>
  <c r="E172" i="1"/>
  <c r="K152" i="1"/>
  <c r="H152" i="1"/>
  <c r="L152" i="1" s="1"/>
  <c r="G152" i="1"/>
  <c r="E152" i="1"/>
  <c r="K151" i="1"/>
  <c r="G151" i="1"/>
  <c r="H151" i="1" s="1"/>
  <c r="E151" i="1"/>
  <c r="K150" i="1"/>
  <c r="H150" i="1"/>
  <c r="L150" i="1" s="1"/>
  <c r="G150" i="1"/>
  <c r="E150" i="1"/>
  <c r="K149" i="1"/>
  <c r="G149" i="1"/>
  <c r="H149" i="1" s="1"/>
  <c r="E149" i="1"/>
  <c r="L149" i="1" s="1"/>
  <c r="K148" i="1"/>
  <c r="L148" i="1" s="1"/>
  <c r="H148" i="1"/>
  <c r="G148" i="1"/>
  <c r="E148" i="1"/>
  <c r="O147" i="1"/>
  <c r="K147" i="1"/>
  <c r="H147" i="1"/>
  <c r="G147" i="1"/>
  <c r="E147" i="1"/>
  <c r="L147" i="1" s="1"/>
  <c r="K146" i="1"/>
  <c r="G146" i="1"/>
  <c r="H146" i="1" s="1"/>
  <c r="L146" i="1" s="1"/>
  <c r="E146" i="1"/>
  <c r="K145" i="1"/>
  <c r="H145" i="1"/>
  <c r="L145" i="1" s="1"/>
  <c r="G145" i="1"/>
  <c r="E145" i="1"/>
  <c r="K144" i="1"/>
  <c r="G144" i="1"/>
  <c r="H144" i="1" s="1"/>
  <c r="E144" i="1"/>
  <c r="L144" i="1" s="1"/>
  <c r="K143" i="1"/>
  <c r="H143" i="1"/>
  <c r="L143" i="1" s="1"/>
  <c r="G143" i="1"/>
  <c r="E143" i="1"/>
  <c r="K142" i="1"/>
  <c r="G142" i="1"/>
  <c r="H142" i="1" s="1"/>
  <c r="E142" i="1"/>
  <c r="P141" i="1"/>
  <c r="K141" i="1"/>
  <c r="G141" i="1"/>
  <c r="H141" i="1" s="1"/>
  <c r="L141" i="1" s="1"/>
  <c r="E141" i="1"/>
  <c r="Q140" i="1"/>
  <c r="O140" i="1"/>
  <c r="K140" i="1"/>
  <c r="G140" i="1"/>
  <c r="H140" i="1" s="1"/>
  <c r="L140" i="1" s="1"/>
  <c r="E140" i="1"/>
  <c r="K139" i="1"/>
  <c r="H139" i="1"/>
  <c r="G139" i="1"/>
  <c r="E139" i="1"/>
  <c r="L139" i="1" s="1"/>
  <c r="K138" i="1"/>
  <c r="K157" i="1" s="1"/>
  <c r="P143" i="1" s="1"/>
  <c r="H138" i="1"/>
  <c r="G138" i="1"/>
  <c r="E138" i="1"/>
  <c r="K121" i="1"/>
  <c r="G121" i="1"/>
  <c r="H121" i="1" s="1"/>
  <c r="E121" i="1"/>
  <c r="K120" i="1"/>
  <c r="H120" i="1"/>
  <c r="G120" i="1"/>
  <c r="E120" i="1"/>
  <c r="L120" i="1" s="1"/>
  <c r="K119" i="1"/>
  <c r="H119" i="1"/>
  <c r="L119" i="1" s="1"/>
  <c r="G119" i="1"/>
  <c r="E119" i="1"/>
  <c r="K118" i="1"/>
  <c r="G118" i="1"/>
  <c r="H118" i="1" s="1"/>
  <c r="E118" i="1"/>
  <c r="L118" i="1" s="1"/>
  <c r="K117" i="1"/>
  <c r="G117" i="1"/>
  <c r="H117" i="1" s="1"/>
  <c r="L117" i="1" s="1"/>
  <c r="E117" i="1"/>
  <c r="O116" i="1"/>
  <c r="K116" i="1"/>
  <c r="G116" i="1"/>
  <c r="H116" i="1" s="1"/>
  <c r="E116" i="1"/>
  <c r="L115" i="1"/>
  <c r="K115" i="1"/>
  <c r="H115" i="1"/>
  <c r="G115" i="1"/>
  <c r="E115" i="1"/>
  <c r="K114" i="1"/>
  <c r="H114" i="1"/>
  <c r="E114" i="1"/>
  <c r="L114" i="1" s="1"/>
  <c r="K113" i="1"/>
  <c r="G113" i="1"/>
  <c r="H113" i="1" s="1"/>
  <c r="L113" i="1" s="1"/>
  <c r="E113" i="1"/>
  <c r="K112" i="1"/>
  <c r="G112" i="1"/>
  <c r="H112" i="1" s="1"/>
  <c r="E112" i="1"/>
  <c r="L112" i="1" s="1"/>
  <c r="K111" i="1"/>
  <c r="G111" i="1"/>
  <c r="H111" i="1" s="1"/>
  <c r="E111" i="1"/>
  <c r="L111" i="1" s="1"/>
  <c r="P110" i="1"/>
  <c r="K110" i="1"/>
  <c r="H110" i="1"/>
  <c r="L110" i="1" s="1"/>
  <c r="G110" i="1"/>
  <c r="E110" i="1"/>
  <c r="Q109" i="1"/>
  <c r="O109" i="1"/>
  <c r="K109" i="1"/>
  <c r="G109" i="1"/>
  <c r="H109" i="1" s="1"/>
  <c r="E109" i="1"/>
  <c r="L109" i="1" s="1"/>
  <c r="K108" i="1"/>
  <c r="G108" i="1"/>
  <c r="H108" i="1" s="1"/>
  <c r="L108" i="1" s="1"/>
  <c r="E108" i="1"/>
  <c r="K107" i="1"/>
  <c r="K125" i="1" s="1"/>
  <c r="P112" i="1" s="1"/>
  <c r="H107" i="1"/>
  <c r="G107" i="1"/>
  <c r="E107" i="1"/>
  <c r="L107" i="1" s="1"/>
  <c r="K87" i="1"/>
  <c r="G87" i="1"/>
  <c r="H87" i="1" s="1"/>
  <c r="E87" i="1"/>
  <c r="L87" i="1" s="1"/>
  <c r="K86" i="1"/>
  <c r="G86" i="1"/>
  <c r="H86" i="1" s="1"/>
  <c r="L86" i="1" s="1"/>
  <c r="E86" i="1"/>
  <c r="K85" i="1"/>
  <c r="H85" i="1"/>
  <c r="G85" i="1"/>
  <c r="E85" i="1"/>
  <c r="L85" i="1" s="1"/>
  <c r="K84" i="1"/>
  <c r="G84" i="1"/>
  <c r="H84" i="1" s="1"/>
  <c r="L84" i="1" s="1"/>
  <c r="E84" i="1"/>
  <c r="K83" i="1"/>
  <c r="G83" i="1"/>
  <c r="H83" i="1" s="1"/>
  <c r="E83" i="1"/>
  <c r="L83" i="1" s="1"/>
  <c r="O82" i="1"/>
  <c r="K82" i="1"/>
  <c r="G82" i="1"/>
  <c r="H82" i="1" s="1"/>
  <c r="E82" i="1"/>
  <c r="L82" i="1" s="1"/>
  <c r="K81" i="1"/>
  <c r="G81" i="1"/>
  <c r="H81" i="1" s="1"/>
  <c r="L81" i="1" s="1"/>
  <c r="E81" i="1"/>
  <c r="K80" i="1"/>
  <c r="G80" i="1"/>
  <c r="H80" i="1" s="1"/>
  <c r="E80" i="1"/>
  <c r="L79" i="1"/>
  <c r="K79" i="1"/>
  <c r="H79" i="1"/>
  <c r="G79" i="1"/>
  <c r="E79" i="1"/>
  <c r="K78" i="1"/>
  <c r="H78" i="1"/>
  <c r="G78" i="1"/>
  <c r="E78" i="1"/>
  <c r="L78" i="1" s="1"/>
  <c r="K77" i="1"/>
  <c r="G77" i="1"/>
  <c r="H77" i="1" s="1"/>
  <c r="L77" i="1" s="1"/>
  <c r="E77" i="1"/>
  <c r="P76" i="1"/>
  <c r="K76" i="1"/>
  <c r="H76" i="1"/>
  <c r="L76" i="1" s="1"/>
  <c r="G76" i="1"/>
  <c r="E76" i="1"/>
  <c r="Q75" i="1"/>
  <c r="O75" i="1"/>
  <c r="K75" i="1"/>
  <c r="H75" i="1"/>
  <c r="G75" i="1"/>
  <c r="E75" i="1"/>
  <c r="L75" i="1" s="1"/>
  <c r="K74" i="1"/>
  <c r="L74" i="1" s="1"/>
  <c r="H74" i="1"/>
  <c r="G74" i="1"/>
  <c r="E74" i="1"/>
  <c r="K73" i="1"/>
  <c r="G73" i="1"/>
  <c r="H73" i="1" s="1"/>
  <c r="E73" i="1"/>
  <c r="L73" i="1" s="1"/>
  <c r="K56" i="1"/>
  <c r="G56" i="1"/>
  <c r="H56" i="1" s="1"/>
  <c r="E56" i="1"/>
  <c r="L56" i="1" s="1"/>
  <c r="K55" i="1"/>
  <c r="L55" i="1" s="1"/>
  <c r="H55" i="1"/>
  <c r="G55" i="1"/>
  <c r="E55" i="1"/>
  <c r="K54" i="1"/>
  <c r="G54" i="1"/>
  <c r="H54" i="1" s="1"/>
  <c r="E54" i="1"/>
  <c r="L53" i="1"/>
  <c r="K53" i="1"/>
  <c r="H53" i="1"/>
  <c r="G53" i="1"/>
  <c r="E53" i="1"/>
  <c r="K52" i="1"/>
  <c r="H52" i="1"/>
  <c r="G52" i="1"/>
  <c r="E52" i="1"/>
  <c r="L52" i="1" s="1"/>
  <c r="Q51" i="1"/>
  <c r="Q55" i="1" s="1"/>
  <c r="O51" i="1"/>
  <c r="K51" i="1"/>
  <c r="G51" i="1"/>
  <c r="H51" i="1" s="1"/>
  <c r="L51" i="1" s="1"/>
  <c r="E51" i="1"/>
  <c r="K50" i="1"/>
  <c r="G50" i="1"/>
  <c r="H50" i="1" s="1"/>
  <c r="E50" i="1"/>
  <c r="L50" i="1" s="1"/>
  <c r="K49" i="1"/>
  <c r="G49" i="1"/>
  <c r="H49" i="1" s="1"/>
  <c r="E49" i="1"/>
  <c r="K48" i="1"/>
  <c r="H48" i="1"/>
  <c r="L48" i="1" s="1"/>
  <c r="G48" i="1"/>
  <c r="E48" i="1"/>
  <c r="K47" i="1"/>
  <c r="G47" i="1"/>
  <c r="H47" i="1" s="1"/>
  <c r="E47" i="1"/>
  <c r="L47" i="1" s="1"/>
  <c r="K46" i="1"/>
  <c r="G46" i="1"/>
  <c r="H46" i="1" s="1"/>
  <c r="L46" i="1" s="1"/>
  <c r="E46" i="1"/>
  <c r="P45" i="1"/>
  <c r="K45" i="1"/>
  <c r="G45" i="1"/>
  <c r="H45" i="1" s="1"/>
  <c r="E45" i="1"/>
  <c r="L45" i="1" s="1"/>
  <c r="Q44" i="1"/>
  <c r="O44" i="1"/>
  <c r="O391" i="1" s="1"/>
  <c r="K44" i="1"/>
  <c r="G44" i="1"/>
  <c r="H44" i="1" s="1"/>
  <c r="E44" i="1"/>
  <c r="K43" i="1"/>
  <c r="L43" i="1" s="1"/>
  <c r="H43" i="1"/>
  <c r="G43" i="1"/>
  <c r="E43" i="1"/>
  <c r="K42" i="1"/>
  <c r="G42" i="1"/>
  <c r="H42" i="1" s="1"/>
  <c r="E42" i="1"/>
  <c r="L42" i="1" s="1"/>
  <c r="K24" i="1"/>
  <c r="H24" i="1"/>
  <c r="G24" i="1"/>
  <c r="E24" i="1"/>
  <c r="L24" i="1" s="1"/>
  <c r="K23" i="1"/>
  <c r="L23" i="1" s="1"/>
  <c r="H23" i="1"/>
  <c r="G23" i="1"/>
  <c r="E23" i="1"/>
  <c r="K22" i="1"/>
  <c r="G22" i="1"/>
  <c r="H22" i="1" s="1"/>
  <c r="E22" i="1"/>
  <c r="L22" i="1" s="1"/>
  <c r="K21" i="1"/>
  <c r="H21" i="1"/>
  <c r="L21" i="1" s="1"/>
  <c r="G21" i="1"/>
  <c r="E21" i="1"/>
  <c r="K20" i="1"/>
  <c r="G20" i="1"/>
  <c r="H20" i="1" s="1"/>
  <c r="E20" i="1"/>
  <c r="Q19" i="1"/>
  <c r="Q338" i="1" s="1"/>
  <c r="K19" i="1"/>
  <c r="H19" i="1"/>
  <c r="G19" i="1"/>
  <c r="E19" i="1"/>
  <c r="L19" i="1" s="1"/>
  <c r="K18" i="1"/>
  <c r="H18" i="1"/>
  <c r="G18" i="1"/>
  <c r="E18" i="1"/>
  <c r="L18" i="1" s="1"/>
  <c r="K17" i="1"/>
  <c r="G17" i="1"/>
  <c r="H17" i="1" s="1"/>
  <c r="L17" i="1" s="1"/>
  <c r="E17" i="1"/>
  <c r="K16" i="1"/>
  <c r="G16" i="1"/>
  <c r="H16" i="1" s="1"/>
  <c r="E16" i="1"/>
  <c r="K15" i="1"/>
  <c r="G15" i="1"/>
  <c r="H15" i="1" s="1"/>
  <c r="E15" i="1"/>
  <c r="L15" i="1" s="1"/>
  <c r="K14" i="1"/>
  <c r="H14" i="1"/>
  <c r="L14" i="1" s="1"/>
  <c r="G14" i="1"/>
  <c r="E14" i="1"/>
  <c r="P13" i="1"/>
  <c r="K13" i="1"/>
  <c r="G13" i="1"/>
  <c r="H13" i="1" s="1"/>
  <c r="E13" i="1"/>
  <c r="L13" i="1" s="1"/>
  <c r="L12" i="1"/>
  <c r="K12" i="1"/>
  <c r="H12" i="1"/>
  <c r="G12" i="1"/>
  <c r="E12" i="1"/>
  <c r="K11" i="1"/>
  <c r="H11" i="1"/>
  <c r="G11" i="1"/>
  <c r="E11" i="1"/>
  <c r="L11" i="1" s="1"/>
  <c r="K10" i="1"/>
  <c r="K28" i="1" s="1"/>
  <c r="P15" i="1" s="1"/>
  <c r="G10" i="1"/>
  <c r="H10" i="1" s="1"/>
  <c r="E10" i="1"/>
  <c r="H285" i="1" l="1"/>
  <c r="H316" i="1"/>
  <c r="H347" i="1"/>
  <c r="H437" i="1"/>
  <c r="L20" i="1"/>
  <c r="H254" i="1"/>
  <c r="H407" i="1"/>
  <c r="L121" i="1"/>
  <c r="L142" i="1"/>
  <c r="L203" i="1"/>
  <c r="L10" i="1"/>
  <c r="H28" i="1"/>
  <c r="H220" i="1"/>
  <c r="L49" i="1"/>
  <c r="L54" i="1"/>
  <c r="L80" i="1"/>
  <c r="L116" i="1"/>
  <c r="H189" i="1"/>
  <c r="L183" i="1"/>
  <c r="L362" i="1"/>
  <c r="L426" i="1"/>
  <c r="H60" i="1"/>
  <c r="L16" i="1"/>
  <c r="L44" i="1"/>
  <c r="L372" i="1"/>
  <c r="L360" i="1"/>
  <c r="H377" i="1"/>
  <c r="H456" i="1"/>
  <c r="L456" i="1" s="1"/>
  <c r="Q342" i="1"/>
  <c r="H157" i="1"/>
  <c r="H125" i="1"/>
  <c r="L338" i="1"/>
  <c r="H91" i="1"/>
  <c r="L151" i="1"/>
  <c r="L298" i="1"/>
  <c r="L394" i="1"/>
  <c r="L419" i="1"/>
  <c r="L429" i="1"/>
  <c r="Q116" i="1"/>
  <c r="Q245" i="1"/>
  <c r="L138" i="1"/>
  <c r="K91" i="1"/>
  <c r="P78" i="1" s="1"/>
  <c r="Q276" i="1"/>
  <c r="H446" i="1"/>
  <c r="L446" i="1" s="1"/>
  <c r="L172" i="1"/>
  <c r="Q428" i="1"/>
  <c r="Q211" i="1"/>
  <c r="L329" i="1"/>
  <c r="Q147" i="1"/>
  <c r="Q307" i="1"/>
  <c r="K60" i="1"/>
  <c r="P47" i="1" s="1"/>
  <c r="Q82" i="1"/>
  <c r="L359" i="1"/>
  <c r="Q398" i="1"/>
  <c r="H445" i="1"/>
  <c r="L206" i="1"/>
  <c r="Q23" i="1"/>
  <c r="L254" i="1" l="1"/>
  <c r="D452" i="1" s="1"/>
  <c r="P240" i="1"/>
  <c r="P243" i="1" s="1"/>
  <c r="Q243" i="1" s="1"/>
  <c r="Q251" i="1" s="1"/>
  <c r="P452" i="1" s="1"/>
  <c r="P14" i="1"/>
  <c r="P17" i="1" s="1"/>
  <c r="Q17" i="1" s="1"/>
  <c r="Q25" i="1" s="1"/>
  <c r="P445" i="1" s="1"/>
  <c r="L28" i="1"/>
  <c r="D445" i="1" s="1"/>
  <c r="Q249" i="1"/>
  <c r="H452" i="1"/>
  <c r="L452" i="1" s="1"/>
  <c r="P363" i="1"/>
  <c r="P366" i="1" s="1"/>
  <c r="Q366" i="1" s="1"/>
  <c r="Q374" i="1" s="1"/>
  <c r="P455" i="1" s="1"/>
  <c r="L377" i="1"/>
  <c r="D455" i="1" s="1"/>
  <c r="P176" i="1"/>
  <c r="P179" i="1" s="1"/>
  <c r="Q179" i="1" s="1"/>
  <c r="Q187" i="1" s="1"/>
  <c r="P450" i="1" s="1"/>
  <c r="L189" i="1"/>
  <c r="D450" i="1" s="1"/>
  <c r="H458" i="1"/>
  <c r="L458" i="1" s="1"/>
  <c r="Q432" i="1"/>
  <c r="L220" i="1"/>
  <c r="D451" i="1" s="1"/>
  <c r="P206" i="1"/>
  <c r="P209" i="1" s="1"/>
  <c r="Q209" i="1" s="1"/>
  <c r="Q217" i="1" s="1"/>
  <c r="P451" i="1" s="1"/>
  <c r="H448" i="1"/>
  <c r="L448" i="1" s="1"/>
  <c r="Q120" i="1"/>
  <c r="L445" i="1"/>
  <c r="Q151" i="1"/>
  <c r="H449" i="1"/>
  <c r="L449" i="1" s="1"/>
  <c r="P111" i="1"/>
  <c r="P114" i="1" s="1"/>
  <c r="Q114" i="1" s="1"/>
  <c r="L125" i="1"/>
  <c r="D448" i="1" s="1"/>
  <c r="H453" i="1"/>
  <c r="L453" i="1" s="1"/>
  <c r="Q280" i="1"/>
  <c r="L157" i="1"/>
  <c r="D449" i="1" s="1"/>
  <c r="P142" i="1"/>
  <c r="P145" i="1" s="1"/>
  <c r="Q145" i="1" s="1"/>
  <c r="L407" i="1"/>
  <c r="D457" i="1" s="1"/>
  <c r="P393" i="1"/>
  <c r="P396" i="1" s="1"/>
  <c r="Q396" i="1" s="1"/>
  <c r="Q402" i="1"/>
  <c r="H457" i="1"/>
  <c r="L457" i="1" s="1"/>
  <c r="L437" i="1"/>
  <c r="D458" i="1" s="1"/>
  <c r="P423" i="1"/>
  <c r="P426" i="1" s="1"/>
  <c r="Q426" i="1" s="1"/>
  <c r="Q434" i="1" s="1"/>
  <c r="P458" i="1" s="1"/>
  <c r="Q86" i="1"/>
  <c r="H447" i="1"/>
  <c r="L447" i="1" s="1"/>
  <c r="L347" i="1"/>
  <c r="D456" i="1" s="1"/>
  <c r="P333" i="1"/>
  <c r="P336" i="1" s="1"/>
  <c r="Q336" i="1" s="1"/>
  <c r="Q344" i="1" s="1"/>
  <c r="P456" i="1" s="1"/>
  <c r="H451" i="1"/>
  <c r="L451" i="1" s="1"/>
  <c r="Q215" i="1"/>
  <c r="L91" i="1"/>
  <c r="D447" i="1" s="1"/>
  <c r="P77" i="1"/>
  <c r="P80" i="1" s="1"/>
  <c r="Q80" i="1" s="1"/>
  <c r="Q88" i="1" s="1"/>
  <c r="P447" i="1" s="1"/>
  <c r="P46" i="1"/>
  <c r="P49" i="1" s="1"/>
  <c r="Q49" i="1" s="1"/>
  <c r="Q57" i="1" s="1"/>
  <c r="P446" i="1" s="1"/>
  <c r="L60" i="1"/>
  <c r="D446" i="1" s="1"/>
  <c r="L316" i="1"/>
  <c r="D454" i="1" s="1"/>
  <c r="P302" i="1"/>
  <c r="P305" i="1" s="1"/>
  <c r="Q305" i="1" s="1"/>
  <c r="H454" i="1"/>
  <c r="L454" i="1" s="1"/>
  <c r="Q311" i="1"/>
  <c r="P271" i="1"/>
  <c r="P274" i="1" s="1"/>
  <c r="Q274" i="1" s="1"/>
  <c r="Q282" i="1" s="1"/>
  <c r="P453" i="1" s="1"/>
  <c r="L285" i="1"/>
  <c r="D453" i="1" s="1"/>
  <c r="L461" i="1" l="1"/>
  <c r="H461" i="1"/>
  <c r="Q153" i="1"/>
  <c r="P449" i="1" s="1"/>
  <c r="Q404" i="1"/>
  <c r="P457" i="1" s="1"/>
  <c r="Q313" i="1"/>
  <c r="P454" i="1" s="1"/>
  <c r="D461" i="1"/>
  <c r="Q122" i="1"/>
  <c r="P448" i="1" s="1"/>
  <c r="P461" i="1" s="1"/>
</calcChain>
</file>

<file path=xl/sharedStrings.xml><?xml version="1.0" encoding="utf-8"?>
<sst xmlns="http://schemas.openxmlformats.org/spreadsheetml/2006/main" count="744" uniqueCount="103">
  <si>
    <t>GASOLINERA RIO TEMPISQUE, S.A.</t>
  </si>
  <si>
    <t xml:space="preserve">REPORTE SEMANAL DE PAGOS </t>
  </si>
  <si>
    <t>NOMBRE DEL EMPLEADO:            MAINOR ZUÑIGA GOMEZ</t>
  </si>
  <si>
    <t xml:space="preserve">FECHA </t>
  </si>
  <si>
    <t>ORDINA.</t>
  </si>
  <si>
    <t xml:space="preserve">PRECIO POR HORA </t>
  </si>
  <si>
    <t>TOTAL</t>
  </si>
  <si>
    <t>HORAS EXTRA</t>
  </si>
  <si>
    <t>EXTRAS Ó DOBLES</t>
  </si>
  <si>
    <t>HORAS DOBLE</t>
  </si>
  <si>
    <t>DOBLE OCACIONAL</t>
  </si>
  <si>
    <t>TOTAL SIN DEDUCCIONES</t>
  </si>
  <si>
    <t>JUEVES</t>
  </si>
  <si>
    <t>COMPROBANTE DE PAGO</t>
  </si>
  <si>
    <t>VIERNES</t>
  </si>
  <si>
    <t>NOMBRE :&gt;&gt;&gt;&gt;&gt;&gt;&gt;</t>
  </si>
  <si>
    <t xml:space="preserve">MAINOR ZUÑIGA </t>
  </si>
  <si>
    <t>SÁBADO</t>
  </si>
  <si>
    <t>FECHA:         15/10/2026</t>
  </si>
  <si>
    <t>BASE MES &gt;&gt;&gt;&gt;&gt;&gt;</t>
  </si>
  <si>
    <t>DOMINGO</t>
  </si>
  <si>
    <t>ADELANTO QUINCENAL</t>
  </si>
  <si>
    <t>LUNES</t>
  </si>
  <si>
    <t xml:space="preserve">HORAS EXTRA </t>
  </si>
  <si>
    <t>MARTES</t>
  </si>
  <si>
    <t>MIÉRCOLES</t>
  </si>
  <si>
    <t>OTROS PAGOS</t>
  </si>
  <si>
    <t>DESDE LAS 7 AM</t>
  </si>
  <si>
    <t>SUBTOTAL</t>
  </si>
  <si>
    <t xml:space="preserve">DEDUCCIONES </t>
  </si>
  <si>
    <t>CCSS 10.83%</t>
  </si>
  <si>
    <t xml:space="preserve">FALTANTES PISTA </t>
  </si>
  <si>
    <t xml:space="preserve">FACTURAS Ó RECIBOS </t>
  </si>
  <si>
    <t xml:space="preserve">OTRAS DEDUCCIONES </t>
  </si>
  <si>
    <t xml:space="preserve">TOTAL DEDUCCIONES </t>
  </si>
  <si>
    <t xml:space="preserve">TOTAL A DEPOSITAR </t>
  </si>
  <si>
    <t>____________________________________</t>
  </si>
  <si>
    <t xml:space="preserve">RECIBO CONFORME </t>
  </si>
  <si>
    <t>Recibo Conforme:_________________________</t>
  </si>
  <si>
    <t xml:space="preserve">NOMBRE DEL EMPLEADO:           JOSE PABLO ESPINOZA </t>
  </si>
  <si>
    <t xml:space="preserve">POR ADAN </t>
  </si>
  <si>
    <t xml:space="preserve">JOSE PABLO ESPINOZA </t>
  </si>
  <si>
    <t xml:space="preserve"> </t>
  </si>
  <si>
    <t>Recibo conforme:_________________________</t>
  </si>
  <si>
    <t xml:space="preserve">NOMBRE DEL EMPLEADO:     EMMANUELLE     </t>
  </si>
  <si>
    <t xml:space="preserve">EMMANUELLE </t>
  </si>
  <si>
    <t>HASTA LAS 6</t>
  </si>
  <si>
    <t>LLEGA A LAS 9</t>
  </si>
  <si>
    <t>Recibo conforme:______________________________</t>
  </si>
  <si>
    <t xml:space="preserve">NOMBRE DEL EMPLEADO:    ADAN      </t>
  </si>
  <si>
    <t>AUSENTE</t>
  </si>
  <si>
    <t>ADAN</t>
  </si>
  <si>
    <t>SIN JORNADA</t>
  </si>
  <si>
    <t>NOMBRE DEL EMPLEADO:            ANTONIO  PEREZ</t>
  </si>
  <si>
    <t xml:space="preserve">ANTONIO PEREZ </t>
  </si>
  <si>
    <t>Recibo conforme:________________________________________</t>
  </si>
  <si>
    <t xml:space="preserve">NOMBRE DEL EMPLEADO:   </t>
  </si>
  <si>
    <t>Recibo conforme:________________________________</t>
  </si>
  <si>
    <t xml:space="preserve">NOMBRE DEL EMPLEADO:           JEISON BARRANTES </t>
  </si>
  <si>
    <t xml:space="preserve">JEISON BARRANTES </t>
  </si>
  <si>
    <t>NOMBRE DEL EMPLEADO:            MAIKOL CASTILLO</t>
  </si>
  <si>
    <t xml:space="preserve">MAIKOL CASTILLO  </t>
  </si>
  <si>
    <t>Recibo conforme:_______________________________</t>
  </si>
  <si>
    <t xml:space="preserve">NOMBRE DEL EMPLEADO:          JOSE LUIS GOMEZ . 5-0400-0030  </t>
  </si>
  <si>
    <t xml:space="preserve">JOSE  LUIS GOMEZ  </t>
  </si>
  <si>
    <t xml:space="preserve">NOMBRE DEL EMPLEADO:          DIXXON  </t>
  </si>
  <si>
    <t xml:space="preserve">DIXON AGUIRRE </t>
  </si>
  <si>
    <t xml:space="preserve">SALE A LA UNA </t>
  </si>
  <si>
    <t xml:space="preserve">NOMBRE DEL EMPLEADO:      DRODYN </t>
  </si>
  <si>
    <t>DRODYN</t>
  </si>
  <si>
    <t>POR DIXON</t>
  </si>
  <si>
    <t>POR MAINOR</t>
  </si>
  <si>
    <t>LIBRE</t>
  </si>
  <si>
    <t xml:space="preserve">NOMBRE DEL EMPLEADO:       </t>
  </si>
  <si>
    <t xml:space="preserve">NOMBRE DEL EMPLEADO:        JEFFERSON CASTILLO  </t>
  </si>
  <si>
    <t>JEFFERSON CASTILLO G.</t>
  </si>
  <si>
    <t xml:space="preserve">AUSENTE </t>
  </si>
  <si>
    <t xml:space="preserve">NOMBRE DEL EMPLEADO:   BRYAN     </t>
  </si>
  <si>
    <t>LLEGÓ A LAS 6</t>
  </si>
  <si>
    <t>BRYANT</t>
  </si>
  <si>
    <t>DEDUCCIONES DE PLANILLA</t>
  </si>
  <si>
    <r>
      <rPr>
        <u/>
        <sz val="9"/>
        <color theme="1"/>
        <rFont val="Calibri"/>
        <family val="2"/>
        <scheme val="minor"/>
      </rPr>
      <t>DEPÓSITOS NETOS</t>
    </r>
    <r>
      <rPr>
        <sz val="9"/>
        <color theme="1"/>
        <rFont val="Calibri"/>
        <family val="2"/>
        <scheme val="minor"/>
      </rPr>
      <t xml:space="preserve"> </t>
    </r>
  </si>
  <si>
    <t>TOTAL EXTRAS</t>
  </si>
  <si>
    <t>NOMBRE</t>
  </si>
  <si>
    <t>C.C.S.S.</t>
  </si>
  <si>
    <t>FALT, PISTA</t>
  </si>
  <si>
    <t>FAC.PREST.REC.</t>
  </si>
  <si>
    <t>DEDU-AUSENC</t>
  </si>
  <si>
    <t xml:space="preserve">TOTAL </t>
  </si>
  <si>
    <t xml:space="preserve">MAINOR </t>
  </si>
  <si>
    <t>JOSE PA</t>
  </si>
  <si>
    <t>JOSE PABLO</t>
  </si>
  <si>
    <t>EMMA</t>
  </si>
  <si>
    <t>EMMANUELLE</t>
  </si>
  <si>
    <t>GATO</t>
  </si>
  <si>
    <t>JEISON</t>
  </si>
  <si>
    <t xml:space="preserve">MAIKOL </t>
  </si>
  <si>
    <t>JOSE</t>
  </si>
  <si>
    <t>DIXON</t>
  </si>
  <si>
    <t>DRODIN</t>
  </si>
  <si>
    <t>JEFFERS</t>
  </si>
  <si>
    <t>JEFERSON</t>
  </si>
  <si>
    <t>MEMO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</si>
</sst>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[$₡-140A]* #,##0.00_);_([$₡-140A]* \(#,##0.00\);_([$₡-140A]* &quot;-&quot;??_);_(@_)"/>
    <numFmt numFmtId="165" formatCode="_-[$₡-140A]* #,##0.00_-;\-[$₡-140A]* #,##0.00_-;_-[$₡-140A]* &quot;-&quot;??_-;_-@_-"/>
    <numFmt numFmtId="166" formatCode="_-[$₡-140A]* #,##0_-;\-[$₡-140A]* #,##0_-;_-[$₡-140A]* &quot;-&quot;??_-;_-@_-"/>
  </numFmts>
  <fonts count="21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 val="double"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8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u val="doubleAccounting"/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u val="doubleAccounting"/>
      <sz val="8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u val="doubleAccounting"/>
      <sz val="8"/>
      <color theme="1"/>
      <name val="Calibri"/>
      <family val="2"/>
      <scheme val="minor"/>
    </font>
    <font>
      <sz val="10"/>
      <name val="Calibri"/>
      <family val="2"/>
      <scheme val="minor"/>
    </font>
    <font>
      <i/>
      <u val="doubleAccounting"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7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auto="1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auto="1"/>
      </right>
      <top style="double">
        <color auto="1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auto="1"/>
      </bottom>
      <diagonal/>
    </border>
    <border>
      <left style="hair">
        <color indexed="64"/>
      </left>
      <right style="double">
        <color indexed="64"/>
      </right>
      <top/>
      <bottom style="hair">
        <color auto="1"/>
      </bottom>
      <diagonal/>
    </border>
    <border>
      <left style="double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double">
        <color auto="1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auto="1"/>
      </right>
      <top style="thin">
        <color indexed="64"/>
      </top>
      <bottom style="double">
        <color auto="1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 wrapText="1"/>
    </xf>
    <xf numFmtId="0" fontId="6" fillId="0" borderId="0" xfId="0" applyFont="1"/>
    <xf numFmtId="14" fontId="6" fillId="2" borderId="1" xfId="0" applyNumberFormat="1" applyFont="1" applyFill="1" applyBorder="1"/>
    <xf numFmtId="0" fontId="1" fillId="3" borderId="1" xfId="0" applyFont="1" applyFill="1" applyBorder="1" applyAlignment="1">
      <alignment horizontal="center"/>
    </xf>
    <xf numFmtId="164" fontId="1" fillId="0" borderId="1" xfId="0" applyNumberFormat="1" applyFont="1" applyBorder="1"/>
    <xf numFmtId="0" fontId="1" fillId="3" borderId="1" xfId="0" applyFont="1" applyFill="1" applyBorder="1"/>
    <xf numFmtId="0" fontId="1" fillId="0" borderId="2" xfId="0" applyFont="1" applyBorder="1"/>
    <xf numFmtId="165" fontId="8" fillId="0" borderId="2" xfId="0" applyNumberFormat="1" applyFont="1" applyBorder="1"/>
    <xf numFmtId="165" fontId="8" fillId="0" borderId="5" xfId="0" applyNumberFormat="1" applyFont="1" applyBorder="1"/>
    <xf numFmtId="165" fontId="1" fillId="0" borderId="2" xfId="0" applyNumberFormat="1" applyFont="1" applyBorder="1"/>
    <xf numFmtId="0" fontId="0" fillId="0" borderId="5" xfId="0" applyBorder="1"/>
    <xf numFmtId="0" fontId="6" fillId="5" borderId="0" xfId="0" applyFont="1" applyFill="1"/>
    <xf numFmtId="14" fontId="6" fillId="5" borderId="1" xfId="0" applyNumberFormat="1" applyFont="1" applyFill="1" applyBorder="1"/>
    <xf numFmtId="0" fontId="1" fillId="0" borderId="6" xfId="0" applyFont="1" applyBorder="1" applyAlignment="1">
      <alignment horizontal="center"/>
    </xf>
    <xf numFmtId="165" fontId="1" fillId="0" borderId="6" xfId="0" applyNumberFormat="1" applyFont="1" applyBorder="1"/>
    <xf numFmtId="165" fontId="1" fillId="0" borderId="7" xfId="0" applyNumberFormat="1" applyFont="1" applyBorder="1"/>
    <xf numFmtId="0" fontId="1" fillId="0" borderId="10" xfId="0" applyFont="1" applyBorder="1" applyAlignment="1">
      <alignment horizontal="center"/>
    </xf>
    <xf numFmtId="165" fontId="1" fillId="0" borderId="5" xfId="0" applyNumberFormat="1" applyFont="1" applyBorder="1"/>
    <xf numFmtId="166" fontId="9" fillId="6" borderId="5" xfId="0" applyNumberFormat="1" applyFont="1" applyFill="1" applyBorder="1"/>
    <xf numFmtId="0" fontId="1" fillId="2" borderId="1" xfId="0" applyFont="1" applyFill="1" applyBorder="1" applyAlignment="1">
      <alignment horizontal="center"/>
    </xf>
    <xf numFmtId="164" fontId="9" fillId="0" borderId="1" xfId="0" applyNumberFormat="1" applyFont="1" applyBorder="1"/>
    <xf numFmtId="0" fontId="1" fillId="0" borderId="1" xfId="0" applyFont="1" applyBorder="1"/>
    <xf numFmtId="164" fontId="10" fillId="0" borderId="1" xfId="0" applyNumberFormat="1" applyFont="1" applyBorder="1"/>
    <xf numFmtId="164" fontId="9" fillId="2" borderId="1" xfId="0" applyNumberFormat="1" applyFont="1" applyFill="1" applyBorder="1"/>
    <xf numFmtId="164" fontId="11" fillId="0" borderId="1" xfId="0" applyNumberFormat="1" applyFont="1" applyBorder="1"/>
    <xf numFmtId="0" fontId="12" fillId="0" borderId="0" xfId="0" applyFont="1"/>
    <xf numFmtId="0" fontId="13" fillId="2" borderId="0" xfId="0" applyFont="1" applyFill="1"/>
    <xf numFmtId="164" fontId="14" fillId="2" borderId="0" xfId="0" applyNumberFormat="1" applyFont="1" applyFill="1"/>
    <xf numFmtId="164" fontId="8" fillId="2" borderId="0" xfId="0" applyNumberFormat="1" applyFont="1" applyFill="1"/>
    <xf numFmtId="0" fontId="6" fillId="4" borderId="0" xfId="0" applyFont="1" applyFill="1"/>
    <xf numFmtId="14" fontId="6" fillId="4" borderId="1" xfId="0" applyNumberFormat="1" applyFont="1" applyFill="1" applyBorder="1"/>
    <xf numFmtId="14" fontId="1" fillId="2" borderId="1" xfId="0" applyNumberFormat="1" applyFont="1" applyFill="1" applyBorder="1"/>
    <xf numFmtId="0" fontId="6" fillId="2" borderId="0" xfId="0" applyFont="1" applyFill="1"/>
    <xf numFmtId="0" fontId="1" fillId="2" borderId="1" xfId="0" applyFont="1" applyFill="1" applyBorder="1"/>
    <xf numFmtId="164" fontId="1" fillId="2" borderId="1" xfId="0" applyNumberFormat="1" applyFont="1" applyFill="1" applyBorder="1"/>
    <xf numFmtId="164" fontId="11" fillId="2" borderId="1" xfId="0" applyNumberFormat="1" applyFont="1" applyFill="1" applyBorder="1"/>
    <xf numFmtId="164" fontId="10" fillId="0" borderId="0" xfId="0" applyNumberFormat="1" applyFont="1"/>
    <xf numFmtId="164" fontId="1" fillId="0" borderId="0" xfId="0" applyNumberFormat="1" applyFont="1"/>
    <xf numFmtId="164" fontId="15" fillId="0" borderId="0" xfId="0" applyNumberFormat="1" applyFont="1"/>
    <xf numFmtId="0" fontId="15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 applyAlignment="1">
      <alignment horizontal="center"/>
    </xf>
    <xf numFmtId="0" fontId="0" fillId="2" borderId="0" xfId="0" applyFill="1"/>
    <xf numFmtId="0" fontId="1" fillId="0" borderId="14" xfId="0" applyFont="1" applyBorder="1"/>
    <xf numFmtId="0" fontId="13" fillId="2" borderId="14" xfId="0" applyFont="1" applyFill="1" applyBorder="1"/>
    <xf numFmtId="164" fontId="16" fillId="2" borderId="0" xfId="0" applyNumberFormat="1" applyFont="1" applyFill="1"/>
    <xf numFmtId="0" fontId="7" fillId="0" borderId="0" xfId="0" applyFont="1"/>
    <xf numFmtId="0" fontId="1" fillId="2" borderId="16" xfId="0" applyFont="1" applyFill="1" applyBorder="1" applyAlignment="1">
      <alignment horizontal="center"/>
    </xf>
    <xf numFmtId="0" fontId="19" fillId="2" borderId="17" xfId="0" applyFont="1" applyFill="1" applyBorder="1"/>
    <xf numFmtId="0" fontId="19" fillId="2" borderId="17" xfId="0" applyFont="1" applyFill="1" applyBorder="1" applyAlignment="1">
      <alignment horizontal="center"/>
    </xf>
    <xf numFmtId="0" fontId="19" fillId="2" borderId="18" xfId="0" applyFont="1" applyFill="1" applyBorder="1" applyAlignment="1">
      <alignment horizontal="center"/>
    </xf>
    <xf numFmtId="0" fontId="1" fillId="0" borderId="16" xfId="0" applyFont="1" applyBorder="1"/>
    <xf numFmtId="166" fontId="1" fillId="0" borderId="18" xfId="0" applyNumberFormat="1" applyFont="1" applyBorder="1"/>
    <xf numFmtId="0" fontId="1" fillId="2" borderId="19" xfId="0" applyFont="1" applyFill="1" applyBorder="1"/>
    <xf numFmtId="164" fontId="20" fillId="0" borderId="20" xfId="0" applyNumberFormat="1" applyFont="1" applyBorder="1"/>
    <xf numFmtId="0" fontId="1" fillId="7" borderId="21" xfId="0" applyFont="1" applyFill="1" applyBorder="1"/>
    <xf numFmtId="165" fontId="20" fillId="7" borderId="22" xfId="0" applyNumberFormat="1" applyFont="1" applyFill="1" applyBorder="1"/>
    <xf numFmtId="166" fontId="20" fillId="7" borderId="22" xfId="0" applyNumberFormat="1" applyFont="1" applyFill="1" applyBorder="1"/>
    <xf numFmtId="165" fontId="20" fillId="7" borderId="23" xfId="0" applyNumberFormat="1" applyFont="1" applyFill="1" applyBorder="1"/>
    <xf numFmtId="0" fontId="1" fillId="0" borderId="24" xfId="0" applyFont="1" applyBorder="1"/>
    <xf numFmtId="166" fontId="1" fillId="0" borderId="25" xfId="0" applyNumberFormat="1" applyFont="1" applyBorder="1"/>
    <xf numFmtId="0" fontId="1" fillId="2" borderId="26" xfId="0" applyFont="1" applyFill="1" applyBorder="1"/>
    <xf numFmtId="164" fontId="20" fillId="0" borderId="27" xfId="0" applyNumberFormat="1" applyFont="1" applyBorder="1"/>
    <xf numFmtId="0" fontId="1" fillId="2" borderId="21" xfId="0" applyFont="1" applyFill="1" applyBorder="1"/>
    <xf numFmtId="165" fontId="20" fillId="2" borderId="22" xfId="0" applyNumberFormat="1" applyFont="1" applyFill="1" applyBorder="1"/>
    <xf numFmtId="166" fontId="20" fillId="2" borderId="22" xfId="0" applyNumberFormat="1" applyFont="1" applyFill="1" applyBorder="1"/>
    <xf numFmtId="165" fontId="20" fillId="2" borderId="23" xfId="0" applyNumberFormat="1" applyFont="1" applyFill="1" applyBorder="1"/>
    <xf numFmtId="0" fontId="1" fillId="0" borderId="21" xfId="0" applyFont="1" applyBorder="1"/>
    <xf numFmtId="166" fontId="1" fillId="0" borderId="23" xfId="0" applyNumberFormat="1" applyFont="1" applyBorder="1"/>
    <xf numFmtId="165" fontId="20" fillId="0" borderId="27" xfId="0" applyNumberFormat="1" applyFont="1" applyBorder="1"/>
    <xf numFmtId="0" fontId="0" fillId="0" borderId="28" xfId="0" applyBorder="1"/>
    <xf numFmtId="164" fontId="20" fillId="0" borderId="29" xfId="0" applyNumberFormat="1" applyFont="1" applyBorder="1"/>
    <xf numFmtId="0" fontId="1" fillId="2" borderId="30" xfId="0" applyFont="1" applyFill="1" applyBorder="1"/>
    <xf numFmtId="165" fontId="20" fillId="2" borderId="31" xfId="0" applyNumberFormat="1" applyFont="1" applyFill="1" applyBorder="1"/>
    <xf numFmtId="166" fontId="20" fillId="2" borderId="31" xfId="0" applyNumberFormat="1" applyFont="1" applyFill="1" applyBorder="1"/>
    <xf numFmtId="165" fontId="20" fillId="2" borderId="32" xfId="0" applyNumberFormat="1" applyFont="1" applyFill="1" applyBorder="1"/>
    <xf numFmtId="0" fontId="0" fillId="0" borderId="30" xfId="0" applyBorder="1"/>
    <xf numFmtId="166" fontId="1" fillId="0" borderId="32" xfId="0" applyNumberFormat="1" applyFont="1" applyBorder="1"/>
    <xf numFmtId="0" fontId="8" fillId="0" borderId="8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14" fontId="1" fillId="2" borderId="11" xfId="0" applyNumberFormat="1" applyFont="1" applyFill="1" applyBorder="1" applyAlignment="1">
      <alignment horizontal="center"/>
    </xf>
    <xf numFmtId="14" fontId="1" fillId="2" borderId="12" xfId="0" applyNumberFormat="1" applyFont="1" applyFill="1" applyBorder="1" applyAlignment="1">
      <alignment horizontal="center"/>
    </xf>
    <xf numFmtId="14" fontId="1" fillId="2" borderId="13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49221-90B7-4DFC-BBD9-622DD41C078C}">
  <dimension ref="A4:Q462"/>
  <sheetViews>
    <sheetView tabSelected="1" topLeftCell="A379" workbookViewId="0">
      <selection activeCell="O382" sqref="O382"/>
    </sheetView>
  </sheetViews>
  <sheetFormatPr baseColWidth="10" defaultRowHeight="15" x14ac:dyDescent="0.25"/>
  <cols>
    <col min="1" max="1" width="10" style="1" customWidth="1"/>
    <col min="2" max="2" width="9.7109375" customWidth="1"/>
    <col min="3" max="3" width="6.7109375" customWidth="1"/>
    <col min="4" max="4" width="9.5703125" customWidth="1"/>
    <col min="5" max="5" width="10.85546875" customWidth="1"/>
    <col min="6" max="6" width="6.42578125" customWidth="1"/>
    <col min="8" max="8" width="10.42578125" customWidth="1"/>
    <col min="9" max="9" width="8" customWidth="1"/>
    <col min="10" max="10" width="10" customWidth="1"/>
    <col min="11" max="11" width="9.7109375" customWidth="1"/>
    <col min="12" max="12" width="12.85546875" customWidth="1"/>
    <col min="13" max="13" width="7.140625" customWidth="1"/>
    <col min="14" max="14" width="7.85546875" customWidth="1"/>
    <col min="15" max="15" width="18.28515625" customWidth="1"/>
    <col min="16" max="16" width="15.28515625" customWidth="1"/>
    <col min="17" max="17" width="15.85546875" customWidth="1"/>
  </cols>
  <sheetData>
    <row r="4" spans="1:17" x14ac:dyDescent="0.25">
      <c r="B4" s="87" t="s">
        <v>0</v>
      </c>
      <c r="C4" s="87"/>
      <c r="D4" s="87"/>
      <c r="E4" s="87"/>
      <c r="F4" s="87"/>
      <c r="G4" s="87"/>
      <c r="H4" s="87"/>
      <c r="I4" s="87"/>
      <c r="J4" s="87"/>
      <c r="K4" s="87"/>
      <c r="L4" s="87"/>
    </row>
    <row r="5" spans="1:17" x14ac:dyDescent="0.25">
      <c r="B5" s="87" t="s">
        <v>1</v>
      </c>
      <c r="C5" s="87"/>
      <c r="D5" s="87"/>
      <c r="E5" s="87"/>
      <c r="F5" s="87"/>
      <c r="G5" s="87"/>
      <c r="H5" s="87"/>
      <c r="I5" s="87"/>
      <c r="J5" s="87"/>
      <c r="K5" s="87"/>
      <c r="L5" s="87"/>
    </row>
    <row r="6" spans="1:17" x14ac:dyDescent="0.25"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7" x14ac:dyDescent="0.25">
      <c r="B7" s="88" t="s">
        <v>2</v>
      </c>
      <c r="C7" s="88"/>
      <c r="D7" s="88"/>
      <c r="E7" s="88"/>
      <c r="F7" s="88"/>
      <c r="G7" s="88"/>
      <c r="H7" s="88"/>
      <c r="I7" s="88"/>
      <c r="J7" s="88"/>
      <c r="K7" s="88"/>
      <c r="L7" s="88"/>
    </row>
    <row r="9" spans="1:17" ht="23.25" x14ac:dyDescent="0.25">
      <c r="B9" s="3" t="s">
        <v>3</v>
      </c>
      <c r="C9" s="4" t="s">
        <v>4</v>
      </c>
      <c r="D9" s="4" t="s">
        <v>5</v>
      </c>
      <c r="E9" s="4" t="s">
        <v>6</v>
      </c>
      <c r="F9" s="4" t="s">
        <v>7</v>
      </c>
      <c r="G9" s="4" t="s">
        <v>8</v>
      </c>
      <c r="H9" s="4" t="s">
        <v>6</v>
      </c>
      <c r="I9" s="4" t="s">
        <v>9</v>
      </c>
      <c r="J9" s="4" t="s">
        <v>10</v>
      </c>
      <c r="K9" s="4" t="s">
        <v>6</v>
      </c>
      <c r="L9" s="4" t="s">
        <v>11</v>
      </c>
      <c r="O9" s="89" t="s">
        <v>0</v>
      </c>
      <c r="P9" s="90"/>
      <c r="Q9" s="91"/>
    </row>
    <row r="10" spans="1:17" x14ac:dyDescent="0.25">
      <c r="A10" s="5" t="s">
        <v>12</v>
      </c>
      <c r="B10" s="6">
        <v>46296</v>
      </c>
      <c r="C10" s="7">
        <v>8</v>
      </c>
      <c r="D10" s="8">
        <v>1725</v>
      </c>
      <c r="E10" s="8">
        <f t="shared" ref="E10:E24" si="0">+C10*D10</f>
        <v>13800</v>
      </c>
      <c r="F10" s="9">
        <v>2</v>
      </c>
      <c r="G10" s="8">
        <f>+D10*1.5</f>
        <v>2587.5</v>
      </c>
      <c r="H10" s="8">
        <f t="shared" ref="H10:H24" si="1">+F10*G10</f>
        <v>5175</v>
      </c>
      <c r="I10" s="9"/>
      <c r="J10" s="8"/>
      <c r="K10" s="8">
        <f t="shared" ref="K10:K24" si="2">+I10*J10</f>
        <v>0</v>
      </c>
      <c r="L10" s="8">
        <f t="shared" ref="L10:L24" si="3">+E10+H10+K10</f>
        <v>18975</v>
      </c>
      <c r="O10" s="89" t="s">
        <v>13</v>
      </c>
      <c r="P10" s="90"/>
      <c r="Q10" s="91"/>
    </row>
    <row r="11" spans="1:17" x14ac:dyDescent="0.25">
      <c r="A11" s="5" t="s">
        <v>14</v>
      </c>
      <c r="B11" s="6">
        <v>46297</v>
      </c>
      <c r="C11" s="7">
        <v>8</v>
      </c>
      <c r="D11" s="8">
        <v>1725</v>
      </c>
      <c r="E11" s="8">
        <f t="shared" si="0"/>
        <v>13800</v>
      </c>
      <c r="F11" s="9">
        <v>2</v>
      </c>
      <c r="G11" s="8">
        <f t="shared" ref="G11:G24" si="4">+D11*1.5</f>
        <v>2587.5</v>
      </c>
      <c r="H11" s="8">
        <f t="shared" si="1"/>
        <v>5175</v>
      </c>
      <c r="I11" s="9"/>
      <c r="J11" s="8"/>
      <c r="K11" s="8">
        <f t="shared" si="2"/>
        <v>0</v>
      </c>
      <c r="L11" s="8">
        <f t="shared" si="3"/>
        <v>18975</v>
      </c>
      <c r="O11" s="10" t="s">
        <v>15</v>
      </c>
      <c r="P11" s="92" t="s">
        <v>16</v>
      </c>
      <c r="Q11" s="93"/>
    </row>
    <row r="12" spans="1:17" x14ac:dyDescent="0.25">
      <c r="A12" s="5" t="s">
        <v>17</v>
      </c>
      <c r="B12" s="6">
        <v>46298</v>
      </c>
      <c r="C12" s="7">
        <v>8</v>
      </c>
      <c r="D12" s="8">
        <v>1725</v>
      </c>
      <c r="E12" s="8">
        <f t="shared" si="0"/>
        <v>13800</v>
      </c>
      <c r="F12" s="9"/>
      <c r="G12" s="8">
        <f t="shared" si="4"/>
        <v>2587.5</v>
      </c>
      <c r="H12" s="8">
        <f t="shared" si="1"/>
        <v>0</v>
      </c>
      <c r="I12" s="9"/>
      <c r="J12" s="8"/>
      <c r="K12" s="8">
        <f t="shared" si="2"/>
        <v>0</v>
      </c>
      <c r="L12" s="8">
        <f t="shared" si="3"/>
        <v>13800</v>
      </c>
      <c r="O12" s="10" t="s">
        <v>18</v>
      </c>
      <c r="P12" s="11" t="s">
        <v>19</v>
      </c>
      <c r="Q12" s="12">
        <v>419755.93</v>
      </c>
    </row>
    <row r="13" spans="1:17" x14ac:dyDescent="0.25">
      <c r="A13" s="5" t="s">
        <v>20</v>
      </c>
      <c r="B13" s="6">
        <v>46299</v>
      </c>
      <c r="C13" s="7">
        <v>8</v>
      </c>
      <c r="D13" s="8">
        <v>1725</v>
      </c>
      <c r="E13" s="8">
        <f t="shared" si="0"/>
        <v>13800</v>
      </c>
      <c r="F13" s="9">
        <v>2</v>
      </c>
      <c r="G13" s="8">
        <f t="shared" si="4"/>
        <v>2587.5</v>
      </c>
      <c r="H13" s="8">
        <f t="shared" si="1"/>
        <v>5175</v>
      </c>
      <c r="I13" s="9"/>
      <c r="J13" s="8"/>
      <c r="K13" s="8">
        <f t="shared" si="2"/>
        <v>0</v>
      </c>
      <c r="L13" s="8">
        <f t="shared" si="3"/>
        <v>18975</v>
      </c>
      <c r="O13" s="10" t="s">
        <v>21</v>
      </c>
      <c r="P13" s="13">
        <f>+Q12/2</f>
        <v>209877.965</v>
      </c>
      <c r="Q13" s="14"/>
    </row>
    <row r="14" spans="1:17" x14ac:dyDescent="0.25">
      <c r="A14" s="5" t="s">
        <v>22</v>
      </c>
      <c r="B14" s="6">
        <v>46300</v>
      </c>
      <c r="C14" s="7">
        <v>8</v>
      </c>
      <c r="D14" s="8">
        <v>1725</v>
      </c>
      <c r="E14" s="8">
        <f t="shared" si="0"/>
        <v>13800</v>
      </c>
      <c r="F14" s="9">
        <v>2</v>
      </c>
      <c r="G14" s="8">
        <f t="shared" si="4"/>
        <v>2587.5</v>
      </c>
      <c r="H14" s="8">
        <f t="shared" si="1"/>
        <v>5175</v>
      </c>
      <c r="I14" s="9"/>
      <c r="J14" s="8"/>
      <c r="K14" s="8">
        <f t="shared" si="2"/>
        <v>0</v>
      </c>
      <c r="L14" s="8">
        <f t="shared" si="3"/>
        <v>18975</v>
      </c>
      <c r="O14" s="10" t="s">
        <v>23</v>
      </c>
      <c r="P14" s="13">
        <f>+H28</f>
        <v>62100</v>
      </c>
      <c r="Q14" s="14"/>
    </row>
    <row r="15" spans="1:17" ht="15.75" customHeight="1" x14ac:dyDescent="0.25">
      <c r="A15" s="5" t="s">
        <v>24</v>
      </c>
      <c r="B15" s="6">
        <v>46301</v>
      </c>
      <c r="C15" s="7">
        <v>8</v>
      </c>
      <c r="D15" s="8">
        <v>1725</v>
      </c>
      <c r="E15" s="8">
        <f t="shared" si="0"/>
        <v>13800</v>
      </c>
      <c r="F15" s="9">
        <v>2</v>
      </c>
      <c r="G15" s="8">
        <f t="shared" si="4"/>
        <v>2587.5</v>
      </c>
      <c r="H15" s="8">
        <f t="shared" si="1"/>
        <v>5175</v>
      </c>
      <c r="I15" s="9"/>
      <c r="J15" s="8"/>
      <c r="K15" s="8">
        <f t="shared" si="2"/>
        <v>0</v>
      </c>
      <c r="L15" s="8">
        <f t="shared" si="3"/>
        <v>18975</v>
      </c>
      <c r="O15" s="10" t="s">
        <v>9</v>
      </c>
      <c r="P15" s="13">
        <f>+K28</f>
        <v>0</v>
      </c>
      <c r="Q15" s="14"/>
    </row>
    <row r="16" spans="1:17" ht="15.75" customHeight="1" x14ac:dyDescent="0.25">
      <c r="A16" s="5" t="s">
        <v>25</v>
      </c>
      <c r="B16" s="6">
        <v>46302</v>
      </c>
      <c r="C16" s="7">
        <v>8</v>
      </c>
      <c r="D16" s="8">
        <v>1725</v>
      </c>
      <c r="E16" s="8">
        <f t="shared" si="0"/>
        <v>13800</v>
      </c>
      <c r="F16" s="9">
        <v>2</v>
      </c>
      <c r="G16" s="8">
        <f t="shared" si="4"/>
        <v>2587.5</v>
      </c>
      <c r="H16" s="8">
        <f t="shared" si="1"/>
        <v>5175</v>
      </c>
      <c r="I16" s="9"/>
      <c r="J16" s="8"/>
      <c r="K16" s="8">
        <f t="shared" si="2"/>
        <v>0</v>
      </c>
      <c r="L16" s="8">
        <f t="shared" si="3"/>
        <v>18975</v>
      </c>
      <c r="O16" s="10" t="s">
        <v>26</v>
      </c>
      <c r="P16" s="13"/>
      <c r="Q16" s="14"/>
    </row>
    <row r="17" spans="1:17" ht="15.75" customHeight="1" x14ac:dyDescent="0.25">
      <c r="A17" s="15" t="s">
        <v>12</v>
      </c>
      <c r="B17" s="16">
        <v>46303</v>
      </c>
      <c r="C17" s="7">
        <v>8</v>
      </c>
      <c r="D17" s="8">
        <v>1725</v>
      </c>
      <c r="E17" s="8">
        <f t="shared" si="0"/>
        <v>13800</v>
      </c>
      <c r="F17" s="9"/>
      <c r="G17" s="8">
        <f t="shared" si="4"/>
        <v>2587.5</v>
      </c>
      <c r="H17" s="8">
        <f t="shared" si="1"/>
        <v>0</v>
      </c>
      <c r="I17" s="9"/>
      <c r="J17" s="8"/>
      <c r="K17" s="8">
        <f t="shared" si="2"/>
        <v>0</v>
      </c>
      <c r="L17" s="8">
        <f t="shared" si="3"/>
        <v>13800</v>
      </c>
      <c r="M17" t="s">
        <v>27</v>
      </c>
      <c r="O17" s="17" t="s">
        <v>28</v>
      </c>
      <c r="P17" s="18">
        <f>SUM(P13:P16)</f>
        <v>271977.96499999997</v>
      </c>
      <c r="Q17" s="19">
        <f>+P17</f>
        <v>271977.96499999997</v>
      </c>
    </row>
    <row r="18" spans="1:17" ht="15.75" customHeight="1" x14ac:dyDescent="0.25">
      <c r="A18" s="5" t="s">
        <v>14</v>
      </c>
      <c r="B18" s="6">
        <v>46304</v>
      </c>
      <c r="C18" s="7">
        <v>8</v>
      </c>
      <c r="D18" s="8">
        <v>1725</v>
      </c>
      <c r="E18" s="8">
        <f t="shared" si="0"/>
        <v>13800</v>
      </c>
      <c r="F18" s="9">
        <v>2</v>
      </c>
      <c r="G18" s="8">
        <f>+D18*1.5</f>
        <v>2587.5</v>
      </c>
      <c r="H18" s="8">
        <f t="shared" si="1"/>
        <v>5175</v>
      </c>
      <c r="I18" s="9"/>
      <c r="J18" s="8"/>
      <c r="K18" s="8">
        <f t="shared" si="2"/>
        <v>0</v>
      </c>
      <c r="L18" s="8">
        <f t="shared" si="3"/>
        <v>18975</v>
      </c>
      <c r="O18" s="83" t="s">
        <v>29</v>
      </c>
      <c r="P18" s="84"/>
      <c r="Q18" s="20"/>
    </row>
    <row r="19" spans="1:17" ht="15.75" customHeight="1" x14ac:dyDescent="0.25">
      <c r="A19" s="5" t="s">
        <v>17</v>
      </c>
      <c r="B19" s="6">
        <v>46305</v>
      </c>
      <c r="C19" s="7">
        <v>8</v>
      </c>
      <c r="D19" s="8">
        <v>1725</v>
      </c>
      <c r="E19" s="8">
        <f t="shared" si="0"/>
        <v>13800</v>
      </c>
      <c r="F19" s="9"/>
      <c r="G19" s="8">
        <f t="shared" si="4"/>
        <v>2587.5</v>
      </c>
      <c r="H19" s="8">
        <f t="shared" si="1"/>
        <v>0</v>
      </c>
      <c r="I19" s="9"/>
      <c r="J19" s="8"/>
      <c r="K19" s="8">
        <f t="shared" si="2"/>
        <v>0</v>
      </c>
      <c r="L19" s="8">
        <f t="shared" si="3"/>
        <v>13800</v>
      </c>
      <c r="O19" s="85" t="s">
        <v>30</v>
      </c>
      <c r="P19" s="86"/>
      <c r="Q19" s="21">
        <f>+P13*10.83%</f>
        <v>22729.783609500002</v>
      </c>
    </row>
    <row r="20" spans="1:17" ht="15.75" customHeight="1" x14ac:dyDescent="0.25">
      <c r="A20" s="5" t="s">
        <v>20</v>
      </c>
      <c r="B20" s="6">
        <v>46306</v>
      </c>
      <c r="C20" s="7">
        <v>8</v>
      </c>
      <c r="D20" s="8">
        <v>1725</v>
      </c>
      <c r="E20" s="8">
        <f t="shared" si="0"/>
        <v>13800</v>
      </c>
      <c r="F20" s="9">
        <v>2</v>
      </c>
      <c r="G20" s="8">
        <f t="shared" si="4"/>
        <v>2587.5</v>
      </c>
      <c r="H20" s="8">
        <f t="shared" si="1"/>
        <v>5175</v>
      </c>
      <c r="I20" s="9"/>
      <c r="J20" s="8"/>
      <c r="K20" s="8">
        <f t="shared" si="2"/>
        <v>0</v>
      </c>
      <c r="L20" s="8">
        <f t="shared" si="3"/>
        <v>18975</v>
      </c>
      <c r="O20" s="85" t="s">
        <v>31</v>
      </c>
      <c r="P20" s="86"/>
      <c r="Q20" s="21"/>
    </row>
    <row r="21" spans="1:17" ht="15.75" customHeight="1" x14ac:dyDescent="0.25">
      <c r="A21" s="5" t="s">
        <v>22</v>
      </c>
      <c r="B21" s="6">
        <v>46307</v>
      </c>
      <c r="C21" s="7">
        <v>8</v>
      </c>
      <c r="D21" s="8">
        <v>1725</v>
      </c>
      <c r="E21" s="8">
        <f t="shared" si="0"/>
        <v>13800</v>
      </c>
      <c r="F21" s="9">
        <v>2</v>
      </c>
      <c r="G21" s="8">
        <f t="shared" si="4"/>
        <v>2587.5</v>
      </c>
      <c r="H21" s="8">
        <f t="shared" si="1"/>
        <v>5175</v>
      </c>
      <c r="I21" s="9"/>
      <c r="J21" s="8"/>
      <c r="K21" s="8">
        <f t="shared" si="2"/>
        <v>0</v>
      </c>
      <c r="L21" s="8">
        <f t="shared" si="3"/>
        <v>18975</v>
      </c>
      <c r="O21" s="85" t="s">
        <v>32</v>
      </c>
      <c r="P21" s="86"/>
      <c r="Q21" s="21"/>
    </row>
    <row r="22" spans="1:17" ht="15.75" customHeight="1" x14ac:dyDescent="0.25">
      <c r="A22" s="5" t="s">
        <v>24</v>
      </c>
      <c r="B22" s="6">
        <v>46308</v>
      </c>
      <c r="C22" s="7">
        <v>8</v>
      </c>
      <c r="D22" s="8">
        <v>1725</v>
      </c>
      <c r="E22" s="8">
        <f t="shared" si="0"/>
        <v>13800</v>
      </c>
      <c r="F22" s="9">
        <v>2</v>
      </c>
      <c r="G22" s="8">
        <f t="shared" si="4"/>
        <v>2587.5</v>
      </c>
      <c r="H22" s="8">
        <f t="shared" si="1"/>
        <v>5175</v>
      </c>
      <c r="I22" s="9"/>
      <c r="J22" s="8"/>
      <c r="K22" s="8">
        <f t="shared" si="2"/>
        <v>0</v>
      </c>
      <c r="L22" s="8">
        <f t="shared" si="3"/>
        <v>18975</v>
      </c>
      <c r="O22" s="85" t="s">
        <v>33</v>
      </c>
      <c r="P22" s="86"/>
      <c r="Q22" s="21"/>
    </row>
    <row r="23" spans="1:17" ht="15.75" customHeight="1" x14ac:dyDescent="0.25">
      <c r="A23" s="5" t="s">
        <v>25</v>
      </c>
      <c r="B23" s="6">
        <v>46309</v>
      </c>
      <c r="C23" s="7">
        <v>8</v>
      </c>
      <c r="D23" s="8">
        <v>1725</v>
      </c>
      <c r="E23" s="8">
        <f t="shared" si="0"/>
        <v>13800</v>
      </c>
      <c r="F23" s="9">
        <v>2</v>
      </c>
      <c r="G23" s="8">
        <f t="shared" si="4"/>
        <v>2587.5</v>
      </c>
      <c r="H23" s="8">
        <f t="shared" si="1"/>
        <v>5175</v>
      </c>
      <c r="I23" s="9"/>
      <c r="J23" s="8"/>
      <c r="K23" s="8">
        <f t="shared" si="2"/>
        <v>0</v>
      </c>
      <c r="L23" s="8">
        <f t="shared" si="3"/>
        <v>18975</v>
      </c>
      <c r="O23" s="85" t="s">
        <v>34</v>
      </c>
      <c r="P23" s="86"/>
      <c r="Q23" s="21">
        <f>SUM(Q19:Q22)</f>
        <v>22729.783609500002</v>
      </c>
    </row>
    <row r="24" spans="1:17" ht="15.75" customHeight="1" x14ac:dyDescent="0.25">
      <c r="A24" s="5" t="s">
        <v>12</v>
      </c>
      <c r="B24" s="6">
        <v>46310</v>
      </c>
      <c r="C24" s="7">
        <v>8</v>
      </c>
      <c r="D24" s="8">
        <v>1725</v>
      </c>
      <c r="E24" s="8">
        <f t="shared" si="0"/>
        <v>13800</v>
      </c>
      <c r="F24" s="9">
        <v>2</v>
      </c>
      <c r="G24" s="8">
        <f t="shared" si="4"/>
        <v>2587.5</v>
      </c>
      <c r="H24" s="8">
        <f t="shared" si="1"/>
        <v>5175</v>
      </c>
      <c r="I24" s="9"/>
      <c r="J24" s="8"/>
      <c r="K24" s="8">
        <f t="shared" si="2"/>
        <v>0</v>
      </c>
      <c r="L24" s="8">
        <f t="shared" si="3"/>
        <v>18975</v>
      </c>
      <c r="O24" s="95"/>
      <c r="P24" s="96"/>
      <c r="Q24" s="14"/>
    </row>
    <row r="25" spans="1:17" ht="15.75" customHeight="1" x14ac:dyDescent="0.35">
      <c r="A25" s="5"/>
      <c r="B25" s="6"/>
      <c r="C25" s="7"/>
      <c r="D25" s="8"/>
      <c r="E25" s="8"/>
      <c r="F25" s="9"/>
      <c r="G25" s="8"/>
      <c r="H25" s="8"/>
      <c r="I25" s="9"/>
      <c r="J25" s="8"/>
      <c r="K25" s="8"/>
      <c r="L25" s="8"/>
      <c r="O25" s="85" t="s">
        <v>35</v>
      </c>
      <c r="P25" s="86"/>
      <c r="Q25" s="22">
        <f>Q17-Q23</f>
        <v>249248.18139049996</v>
      </c>
    </row>
    <row r="26" spans="1:17" ht="16.5" x14ac:dyDescent="0.35">
      <c r="A26" s="5"/>
      <c r="B26" s="6"/>
      <c r="C26" s="23"/>
      <c r="D26" s="8"/>
      <c r="E26" s="24"/>
      <c r="F26" s="25"/>
      <c r="G26" s="25"/>
      <c r="H26" s="8"/>
      <c r="I26" s="25"/>
      <c r="J26" s="25"/>
      <c r="K26" s="25"/>
      <c r="L26" s="26"/>
    </row>
    <row r="27" spans="1:17" ht="16.5" x14ac:dyDescent="0.35">
      <c r="B27" s="97"/>
      <c r="C27" s="98"/>
      <c r="D27" s="99"/>
      <c r="E27" s="27"/>
      <c r="F27" s="25"/>
      <c r="G27" s="25"/>
      <c r="H27" s="8"/>
      <c r="I27" s="25"/>
      <c r="J27" s="25"/>
      <c r="K27" s="25"/>
      <c r="L27" s="26"/>
      <c r="O27" s="100" t="s">
        <v>36</v>
      </c>
      <c r="P27" s="100"/>
      <c r="Q27" s="100"/>
    </row>
    <row r="28" spans="1:17" ht="16.5" x14ac:dyDescent="0.35">
      <c r="B28" s="25"/>
      <c r="C28" s="25"/>
      <c r="D28" s="8"/>
      <c r="E28" s="28"/>
      <c r="F28" s="25"/>
      <c r="G28" s="25"/>
      <c r="H28" s="24">
        <f>SUM(H10:H26)</f>
        <v>62100</v>
      </c>
      <c r="I28" s="25"/>
      <c r="J28" s="25"/>
      <c r="K28" s="24">
        <f>SUM(K10:K26)</f>
        <v>0</v>
      </c>
      <c r="L28" s="28">
        <f>SUM(H28:K28)</f>
        <v>62100</v>
      </c>
      <c r="O28" s="101" t="s">
        <v>37</v>
      </c>
      <c r="P28" s="101"/>
      <c r="Q28" s="101"/>
    </row>
    <row r="29" spans="1:17" ht="16.5" x14ac:dyDescent="0.35">
      <c r="B29" s="29"/>
      <c r="C29" s="29"/>
      <c r="D29" s="29"/>
      <c r="E29" s="29"/>
      <c r="F29" s="29"/>
      <c r="G29" s="29"/>
      <c r="H29" s="29"/>
      <c r="I29" s="29"/>
      <c r="J29" s="30"/>
      <c r="K29" s="30"/>
      <c r="L29" s="31"/>
    </row>
    <row r="30" spans="1:17" x14ac:dyDescent="0.25">
      <c r="B30" s="29"/>
      <c r="C30" s="29"/>
      <c r="D30" s="29"/>
      <c r="E30" s="29"/>
      <c r="F30" s="29"/>
      <c r="G30" s="29"/>
      <c r="H30" s="29"/>
      <c r="I30" s="29"/>
      <c r="J30" s="30"/>
      <c r="K30" s="30"/>
      <c r="L30" s="32"/>
    </row>
    <row r="31" spans="1:17" x14ac:dyDescent="0.25">
      <c r="B31" s="29"/>
      <c r="C31" s="29"/>
      <c r="D31" s="29"/>
      <c r="E31" s="29"/>
      <c r="F31" s="29"/>
      <c r="G31" s="29"/>
      <c r="H31" s="29"/>
      <c r="I31" s="29"/>
      <c r="J31" s="30"/>
      <c r="K31" s="30"/>
      <c r="L31" s="32"/>
    </row>
    <row r="32" spans="1:17" x14ac:dyDescent="0.25">
      <c r="B32" s="29"/>
      <c r="C32" s="29"/>
      <c r="D32" s="29"/>
      <c r="E32" s="29" t="s">
        <v>38</v>
      </c>
      <c r="F32" s="29"/>
      <c r="G32" s="29"/>
      <c r="H32" s="29"/>
      <c r="I32" s="29"/>
      <c r="J32" s="30"/>
      <c r="K32" s="30"/>
      <c r="L32" s="32"/>
    </row>
    <row r="33" spans="1:17" x14ac:dyDescent="0.25">
      <c r="B33" s="29"/>
      <c r="C33" s="29"/>
      <c r="D33" s="29"/>
      <c r="E33" s="29"/>
      <c r="F33" s="29"/>
      <c r="G33" s="29"/>
      <c r="H33" s="29"/>
      <c r="I33" s="29"/>
      <c r="J33" s="30"/>
      <c r="K33" s="30"/>
      <c r="L33" s="32"/>
    </row>
    <row r="34" spans="1:17" x14ac:dyDescent="0.25">
      <c r="B34" s="29"/>
      <c r="C34" s="29"/>
      <c r="D34" s="29"/>
      <c r="E34" s="29"/>
      <c r="F34" s="29"/>
      <c r="G34" s="29"/>
      <c r="H34" s="29"/>
      <c r="I34" s="29"/>
      <c r="J34" s="30"/>
      <c r="K34" s="30"/>
      <c r="L34" s="32"/>
    </row>
    <row r="35" spans="1:17" x14ac:dyDescent="0.25">
      <c r="B35" s="29"/>
      <c r="C35" s="29"/>
      <c r="D35" s="29"/>
      <c r="E35" s="29"/>
      <c r="F35" s="29"/>
      <c r="G35" s="29"/>
      <c r="H35" s="29"/>
      <c r="I35" s="29"/>
      <c r="J35" s="30"/>
      <c r="K35" s="30"/>
      <c r="L35" s="32"/>
    </row>
    <row r="36" spans="1:17" x14ac:dyDescent="0.25">
      <c r="B36" s="87" t="s">
        <v>0</v>
      </c>
      <c r="C36" s="87"/>
      <c r="D36" s="87"/>
      <c r="E36" s="87"/>
      <c r="F36" s="87"/>
      <c r="G36" s="87"/>
      <c r="H36" s="87"/>
      <c r="I36" s="87"/>
      <c r="J36" s="87"/>
      <c r="K36" s="87"/>
      <c r="L36" s="87"/>
    </row>
    <row r="37" spans="1:17" x14ac:dyDescent="0.25">
      <c r="B37" s="87" t="s">
        <v>1</v>
      </c>
      <c r="C37" s="87"/>
      <c r="D37" s="87"/>
      <c r="E37" s="87"/>
      <c r="F37" s="87"/>
      <c r="G37" s="87"/>
      <c r="H37" s="87"/>
      <c r="I37" s="87"/>
      <c r="J37" s="87"/>
      <c r="K37" s="87"/>
      <c r="L37" s="87"/>
    </row>
    <row r="38" spans="1:17" x14ac:dyDescent="0.25">
      <c r="B38" s="29"/>
      <c r="C38" s="29"/>
      <c r="D38" s="29"/>
      <c r="E38" s="29"/>
      <c r="F38" s="29"/>
      <c r="G38" s="29"/>
      <c r="H38" s="29"/>
      <c r="I38" s="29"/>
      <c r="J38" s="30"/>
      <c r="K38" s="30"/>
      <c r="L38" s="32"/>
    </row>
    <row r="39" spans="1:17" x14ac:dyDescent="0.25">
      <c r="B39" s="94" t="s">
        <v>39</v>
      </c>
      <c r="C39" s="94"/>
      <c r="D39" s="94"/>
      <c r="E39" s="94"/>
      <c r="F39" s="94"/>
      <c r="G39" s="94"/>
      <c r="H39" s="94"/>
      <c r="I39" s="94"/>
      <c r="J39" s="94"/>
      <c r="K39" s="94"/>
      <c r="L39" s="94"/>
    </row>
    <row r="41" spans="1:17" ht="23.25" x14ac:dyDescent="0.25">
      <c r="B41" s="25" t="s">
        <v>3</v>
      </c>
      <c r="C41" s="4" t="s">
        <v>4</v>
      </c>
      <c r="D41" s="4" t="s">
        <v>5</v>
      </c>
      <c r="E41" s="4" t="s">
        <v>6</v>
      </c>
      <c r="F41" s="4" t="s">
        <v>7</v>
      </c>
      <c r="G41" s="4" t="s">
        <v>8</v>
      </c>
      <c r="H41" s="4" t="s">
        <v>6</v>
      </c>
      <c r="I41" s="4" t="s">
        <v>9</v>
      </c>
      <c r="J41" s="4" t="s">
        <v>10</v>
      </c>
      <c r="K41" s="4" t="s">
        <v>6</v>
      </c>
      <c r="L41" s="4" t="s">
        <v>11</v>
      </c>
      <c r="O41" s="89" t="s">
        <v>0</v>
      </c>
      <c r="P41" s="90"/>
      <c r="Q41" s="91"/>
    </row>
    <row r="42" spans="1:17" x14ac:dyDescent="0.25">
      <c r="A42" s="33" t="s">
        <v>12</v>
      </c>
      <c r="B42" s="34">
        <v>46296</v>
      </c>
      <c r="C42" s="7">
        <v>8</v>
      </c>
      <c r="D42" s="8">
        <v>1725</v>
      </c>
      <c r="E42" s="8">
        <f t="shared" ref="E42:E56" si="5">+C42*D42</f>
        <v>13800</v>
      </c>
      <c r="F42" s="9">
        <v>3</v>
      </c>
      <c r="G42" s="8">
        <f>+D42*1.5</f>
        <v>2587.5</v>
      </c>
      <c r="H42" s="8">
        <f>+F42*G42</f>
        <v>7762.5</v>
      </c>
      <c r="I42" s="9"/>
      <c r="J42" s="8"/>
      <c r="K42" s="8">
        <f>+I42*J42</f>
        <v>0</v>
      </c>
      <c r="L42" s="8">
        <f>+E42+H42+K42</f>
        <v>21562.5</v>
      </c>
      <c r="M42" t="s">
        <v>40</v>
      </c>
      <c r="O42" s="89" t="s">
        <v>13</v>
      </c>
      <c r="P42" s="90"/>
      <c r="Q42" s="91"/>
    </row>
    <row r="43" spans="1:17" x14ac:dyDescent="0.25">
      <c r="A43" s="5" t="s">
        <v>14</v>
      </c>
      <c r="B43" s="6">
        <v>46297</v>
      </c>
      <c r="C43" s="7">
        <v>8</v>
      </c>
      <c r="D43" s="8">
        <v>1725</v>
      </c>
      <c r="E43" s="8">
        <f t="shared" si="5"/>
        <v>13800</v>
      </c>
      <c r="F43" s="9"/>
      <c r="G43" s="8">
        <f>+D43*1.5</f>
        <v>2587.5</v>
      </c>
      <c r="H43" s="8">
        <f t="shared" ref="H43:H56" si="6">+F43*G43</f>
        <v>0</v>
      </c>
      <c r="I43" s="9"/>
      <c r="J43" s="8"/>
      <c r="K43" s="8">
        <f t="shared" ref="K43:K56" si="7">+I43*J43</f>
        <v>0</v>
      </c>
      <c r="L43" s="8">
        <f t="shared" ref="L43:L56" si="8">+E43+H43+K43</f>
        <v>13800</v>
      </c>
      <c r="O43" s="10" t="s">
        <v>15</v>
      </c>
      <c r="P43" s="92" t="s">
        <v>41</v>
      </c>
      <c r="Q43" s="93"/>
    </row>
    <row r="44" spans="1:17" x14ac:dyDescent="0.25">
      <c r="A44" s="5" t="s">
        <v>17</v>
      </c>
      <c r="B44" s="6">
        <v>46298</v>
      </c>
      <c r="C44" s="7">
        <v>8</v>
      </c>
      <c r="D44" s="8">
        <v>1725</v>
      </c>
      <c r="E44" s="8">
        <f t="shared" si="5"/>
        <v>13800</v>
      </c>
      <c r="F44" s="9"/>
      <c r="G44" s="8">
        <f t="shared" ref="G44:G56" si="9">+D44*1.5</f>
        <v>2587.5</v>
      </c>
      <c r="H44" s="8">
        <f t="shared" si="6"/>
        <v>0</v>
      </c>
      <c r="I44" s="9"/>
      <c r="J44" s="8"/>
      <c r="K44" s="8">
        <f t="shared" si="7"/>
        <v>0</v>
      </c>
      <c r="L44" s="8">
        <f t="shared" si="8"/>
        <v>13800</v>
      </c>
      <c r="O44" s="10" t="str">
        <f>+O12</f>
        <v>FECHA:         15/10/2026</v>
      </c>
      <c r="P44" s="11" t="s">
        <v>19</v>
      </c>
      <c r="Q44" s="12">
        <f>+Q12</f>
        <v>419755.93</v>
      </c>
    </row>
    <row r="45" spans="1:17" x14ac:dyDescent="0.25">
      <c r="A45" s="5" t="s">
        <v>20</v>
      </c>
      <c r="B45" s="6">
        <v>46299</v>
      </c>
      <c r="C45" s="7">
        <v>8</v>
      </c>
      <c r="D45" s="8">
        <v>1725</v>
      </c>
      <c r="E45" s="8">
        <f t="shared" si="5"/>
        <v>13800</v>
      </c>
      <c r="F45" s="9"/>
      <c r="G45" s="8">
        <f t="shared" si="9"/>
        <v>2587.5</v>
      </c>
      <c r="H45" s="8">
        <f t="shared" si="6"/>
        <v>0</v>
      </c>
      <c r="I45" s="9"/>
      <c r="J45" s="8"/>
      <c r="K45" s="8">
        <f t="shared" si="7"/>
        <v>0</v>
      </c>
      <c r="L45" s="8">
        <f t="shared" si="8"/>
        <v>13800</v>
      </c>
      <c r="O45" s="10" t="s">
        <v>21</v>
      </c>
      <c r="P45" s="13">
        <f>+Q44/2</f>
        <v>209877.965</v>
      </c>
      <c r="Q45" s="14"/>
    </row>
    <row r="46" spans="1:17" x14ac:dyDescent="0.25">
      <c r="A46" s="5" t="s">
        <v>22</v>
      </c>
      <c r="B46" s="6">
        <v>46300</v>
      </c>
      <c r="C46" s="7">
        <v>8</v>
      </c>
      <c r="D46" s="8">
        <v>1725</v>
      </c>
      <c r="E46" s="8">
        <f t="shared" si="5"/>
        <v>13800</v>
      </c>
      <c r="F46" s="9"/>
      <c r="G46" s="8">
        <f t="shared" si="9"/>
        <v>2587.5</v>
      </c>
      <c r="H46" s="8">
        <f t="shared" si="6"/>
        <v>0</v>
      </c>
      <c r="I46" s="9"/>
      <c r="J46" s="8"/>
      <c r="K46" s="8">
        <f t="shared" si="7"/>
        <v>0</v>
      </c>
      <c r="L46" s="8">
        <f t="shared" si="8"/>
        <v>13800</v>
      </c>
      <c r="O46" s="10" t="s">
        <v>23</v>
      </c>
      <c r="P46" s="13">
        <f>+H60</f>
        <v>7762.5</v>
      </c>
      <c r="Q46" s="14"/>
    </row>
    <row r="47" spans="1:17" x14ac:dyDescent="0.25">
      <c r="A47" s="5" t="s">
        <v>24</v>
      </c>
      <c r="B47" s="6">
        <v>46301</v>
      </c>
      <c r="C47" s="7">
        <v>8</v>
      </c>
      <c r="D47" s="8">
        <v>1725</v>
      </c>
      <c r="E47" s="8">
        <f t="shared" si="5"/>
        <v>13800</v>
      </c>
      <c r="F47" s="9"/>
      <c r="G47" s="8">
        <f t="shared" si="9"/>
        <v>2587.5</v>
      </c>
      <c r="H47" s="8">
        <f t="shared" si="6"/>
        <v>0</v>
      </c>
      <c r="I47" s="9"/>
      <c r="J47" s="8"/>
      <c r="K47" s="8">
        <f t="shared" si="7"/>
        <v>0</v>
      </c>
      <c r="L47" s="8">
        <f t="shared" si="8"/>
        <v>13800</v>
      </c>
      <c r="O47" s="10" t="s">
        <v>9</v>
      </c>
      <c r="P47" s="13">
        <f>+K60</f>
        <v>0</v>
      </c>
      <c r="Q47" s="14"/>
    </row>
    <row r="48" spans="1:17" x14ac:dyDescent="0.25">
      <c r="A48" s="5" t="s">
        <v>25</v>
      </c>
      <c r="B48" s="6">
        <v>46302</v>
      </c>
      <c r="C48" s="7">
        <v>8</v>
      </c>
      <c r="D48" s="8">
        <v>1725</v>
      </c>
      <c r="E48" s="8">
        <f t="shared" si="5"/>
        <v>13800</v>
      </c>
      <c r="F48" s="9"/>
      <c r="G48" s="8">
        <f t="shared" si="9"/>
        <v>2587.5</v>
      </c>
      <c r="H48" s="8">
        <f t="shared" si="6"/>
        <v>0</v>
      </c>
      <c r="I48" s="9"/>
      <c r="J48" s="8"/>
      <c r="K48" s="8">
        <f t="shared" si="7"/>
        <v>0</v>
      </c>
      <c r="L48" s="8">
        <f t="shared" si="8"/>
        <v>13800</v>
      </c>
      <c r="O48" s="10" t="s">
        <v>26</v>
      </c>
      <c r="P48" s="13"/>
      <c r="Q48" s="14"/>
    </row>
    <row r="49" spans="1:17" x14ac:dyDescent="0.25">
      <c r="A49" s="5" t="s">
        <v>12</v>
      </c>
      <c r="B49" s="6">
        <v>46303</v>
      </c>
      <c r="C49" s="7">
        <v>8</v>
      </c>
      <c r="D49" s="8">
        <v>1725</v>
      </c>
      <c r="E49" s="8">
        <f t="shared" si="5"/>
        <v>13800</v>
      </c>
      <c r="F49" s="9"/>
      <c r="G49" s="8">
        <f t="shared" si="9"/>
        <v>2587.5</v>
      </c>
      <c r="H49" s="8">
        <f t="shared" si="6"/>
        <v>0</v>
      </c>
      <c r="I49" s="9"/>
      <c r="J49" s="8"/>
      <c r="K49" s="8">
        <f t="shared" si="7"/>
        <v>0</v>
      </c>
      <c r="L49" s="8">
        <f t="shared" si="8"/>
        <v>13800</v>
      </c>
      <c r="O49" s="17" t="s">
        <v>28</v>
      </c>
      <c r="P49" s="18">
        <f>SUM(P45:P48)</f>
        <v>217640.465</v>
      </c>
      <c r="Q49" s="19">
        <f>+P49</f>
        <v>217640.465</v>
      </c>
    </row>
    <row r="50" spans="1:17" x14ac:dyDescent="0.25">
      <c r="A50" s="5" t="s">
        <v>14</v>
      </c>
      <c r="B50" s="6">
        <v>46304</v>
      </c>
      <c r="C50" s="7">
        <v>8</v>
      </c>
      <c r="D50" s="8">
        <v>1725</v>
      </c>
      <c r="E50" s="8">
        <f t="shared" si="5"/>
        <v>13800</v>
      </c>
      <c r="F50" s="9"/>
      <c r="G50" s="8">
        <f t="shared" si="9"/>
        <v>2587.5</v>
      </c>
      <c r="H50" s="8">
        <f t="shared" si="6"/>
        <v>0</v>
      </c>
      <c r="I50" s="9"/>
      <c r="J50" s="8"/>
      <c r="K50" s="8">
        <f t="shared" si="7"/>
        <v>0</v>
      </c>
      <c r="L50" s="8">
        <f t="shared" si="8"/>
        <v>13800</v>
      </c>
      <c r="O50" s="83" t="s">
        <v>29</v>
      </c>
      <c r="P50" s="84"/>
      <c r="Q50" s="20"/>
    </row>
    <row r="51" spans="1:17" x14ac:dyDescent="0.25">
      <c r="A51" s="5" t="s">
        <v>17</v>
      </c>
      <c r="B51" s="6">
        <v>46305</v>
      </c>
      <c r="C51" s="7">
        <v>8</v>
      </c>
      <c r="D51" s="8">
        <v>1725</v>
      </c>
      <c r="E51" s="8">
        <f t="shared" si="5"/>
        <v>13800</v>
      </c>
      <c r="F51" s="9"/>
      <c r="G51" s="8">
        <f t="shared" si="9"/>
        <v>2587.5</v>
      </c>
      <c r="H51" s="8">
        <f t="shared" si="6"/>
        <v>0</v>
      </c>
      <c r="I51" s="9"/>
      <c r="J51" s="8"/>
      <c r="K51" s="8">
        <f t="shared" si="7"/>
        <v>0</v>
      </c>
      <c r="L51" s="8">
        <f t="shared" si="8"/>
        <v>13800</v>
      </c>
      <c r="O51" s="85" t="str">
        <f>+O19</f>
        <v>CCSS 10.83%</v>
      </c>
      <c r="P51" s="86"/>
      <c r="Q51" s="21">
        <f>+Q19</f>
        <v>22729.783609500002</v>
      </c>
    </row>
    <row r="52" spans="1:17" x14ac:dyDescent="0.25">
      <c r="A52" s="5" t="s">
        <v>20</v>
      </c>
      <c r="B52" s="6">
        <v>46306</v>
      </c>
      <c r="C52" s="7">
        <v>8</v>
      </c>
      <c r="D52" s="8">
        <v>1725</v>
      </c>
      <c r="E52" s="8">
        <f t="shared" si="5"/>
        <v>13800</v>
      </c>
      <c r="F52" s="9"/>
      <c r="G52" s="8">
        <f t="shared" si="9"/>
        <v>2587.5</v>
      </c>
      <c r="H52" s="8">
        <f t="shared" si="6"/>
        <v>0</v>
      </c>
      <c r="I52" s="9"/>
      <c r="J52" s="8"/>
      <c r="K52" s="8">
        <f t="shared" si="7"/>
        <v>0</v>
      </c>
      <c r="L52" s="8">
        <f t="shared" si="8"/>
        <v>13800</v>
      </c>
      <c r="O52" s="85" t="s">
        <v>31</v>
      </c>
      <c r="P52" s="86"/>
      <c r="Q52" s="21">
        <v>5375</v>
      </c>
    </row>
    <row r="53" spans="1:17" x14ac:dyDescent="0.25">
      <c r="A53" s="5" t="s">
        <v>22</v>
      </c>
      <c r="B53" s="6">
        <v>46307</v>
      </c>
      <c r="C53" s="7">
        <v>8</v>
      </c>
      <c r="D53" s="8">
        <v>1725</v>
      </c>
      <c r="E53" s="8">
        <f t="shared" si="5"/>
        <v>13800</v>
      </c>
      <c r="F53" s="9"/>
      <c r="G53" s="8">
        <f t="shared" si="9"/>
        <v>2587.5</v>
      </c>
      <c r="H53" s="8">
        <f t="shared" si="6"/>
        <v>0</v>
      </c>
      <c r="I53" s="9"/>
      <c r="J53" s="8"/>
      <c r="K53" s="8">
        <f t="shared" si="7"/>
        <v>0</v>
      </c>
      <c r="L53" s="8">
        <f t="shared" si="8"/>
        <v>13800</v>
      </c>
      <c r="O53" s="85" t="s">
        <v>32</v>
      </c>
      <c r="P53" s="86"/>
      <c r="Q53" s="21" t="s">
        <v>42</v>
      </c>
    </row>
    <row r="54" spans="1:17" x14ac:dyDescent="0.25">
      <c r="A54" s="5" t="s">
        <v>24</v>
      </c>
      <c r="B54" s="6">
        <v>46308</v>
      </c>
      <c r="C54" s="7">
        <v>8</v>
      </c>
      <c r="D54" s="8">
        <v>1725</v>
      </c>
      <c r="E54" s="8">
        <f t="shared" si="5"/>
        <v>13800</v>
      </c>
      <c r="F54" s="9"/>
      <c r="G54" s="8">
        <f t="shared" si="9"/>
        <v>2587.5</v>
      </c>
      <c r="H54" s="8">
        <f t="shared" si="6"/>
        <v>0</v>
      </c>
      <c r="I54" s="9"/>
      <c r="J54" s="8"/>
      <c r="K54" s="8">
        <f t="shared" si="7"/>
        <v>0</v>
      </c>
      <c r="L54" s="8">
        <f t="shared" si="8"/>
        <v>13800</v>
      </c>
      <c r="O54" s="85" t="s">
        <v>33</v>
      </c>
      <c r="P54" s="86"/>
      <c r="Q54" s="21"/>
    </row>
    <row r="55" spans="1:17" x14ac:dyDescent="0.25">
      <c r="A55" s="5" t="s">
        <v>25</v>
      </c>
      <c r="B55" s="6">
        <v>46309</v>
      </c>
      <c r="C55" s="7">
        <v>8</v>
      </c>
      <c r="D55" s="8">
        <v>1725</v>
      </c>
      <c r="E55" s="8">
        <f t="shared" si="5"/>
        <v>13800</v>
      </c>
      <c r="F55" s="9"/>
      <c r="G55" s="8">
        <f t="shared" si="9"/>
        <v>2587.5</v>
      </c>
      <c r="H55" s="8">
        <f t="shared" si="6"/>
        <v>0</v>
      </c>
      <c r="I55" s="9"/>
      <c r="J55" s="8"/>
      <c r="K55" s="8">
        <f t="shared" si="7"/>
        <v>0</v>
      </c>
      <c r="L55" s="8">
        <f t="shared" si="8"/>
        <v>13800</v>
      </c>
      <c r="O55" s="85" t="s">
        <v>34</v>
      </c>
      <c r="P55" s="86"/>
      <c r="Q55" s="21">
        <f>SUM(Q51:Q54)</f>
        <v>28104.783609500002</v>
      </c>
    </row>
    <row r="56" spans="1:17" x14ac:dyDescent="0.25">
      <c r="A56" s="5" t="s">
        <v>12</v>
      </c>
      <c r="B56" s="6">
        <v>46310</v>
      </c>
      <c r="C56" s="7">
        <v>8</v>
      </c>
      <c r="D56" s="8">
        <v>1725</v>
      </c>
      <c r="E56" s="8">
        <f t="shared" si="5"/>
        <v>13800</v>
      </c>
      <c r="F56" s="9"/>
      <c r="G56" s="8">
        <f t="shared" si="9"/>
        <v>2587.5</v>
      </c>
      <c r="H56" s="8">
        <f t="shared" si="6"/>
        <v>0</v>
      </c>
      <c r="I56" s="9"/>
      <c r="J56" s="8"/>
      <c r="K56" s="8">
        <f t="shared" si="7"/>
        <v>0</v>
      </c>
      <c r="L56" s="8">
        <f t="shared" si="8"/>
        <v>13800</v>
      </c>
      <c r="O56" s="95"/>
      <c r="P56" s="96"/>
      <c r="Q56" s="14"/>
    </row>
    <row r="57" spans="1:17" ht="16.5" x14ac:dyDescent="0.35">
      <c r="A57" s="5"/>
      <c r="B57" s="6"/>
      <c r="C57" s="7"/>
      <c r="D57" s="8"/>
      <c r="E57" s="8"/>
      <c r="F57" s="9"/>
      <c r="G57" s="8"/>
      <c r="H57" s="8"/>
      <c r="I57" s="9"/>
      <c r="J57" s="8"/>
      <c r="K57" s="8"/>
      <c r="L57" s="8"/>
      <c r="O57" s="85" t="s">
        <v>35</v>
      </c>
      <c r="P57" s="86"/>
      <c r="Q57" s="22">
        <f>Q49-Q55</f>
        <v>189535.68139049999</v>
      </c>
    </row>
    <row r="58" spans="1:17" ht="16.5" x14ac:dyDescent="0.35">
      <c r="B58" s="35"/>
      <c r="C58" s="23"/>
      <c r="D58" s="25"/>
      <c r="E58" s="24"/>
      <c r="F58" s="25"/>
      <c r="G58" s="25"/>
      <c r="H58" s="8"/>
      <c r="I58" s="25"/>
      <c r="J58" s="25"/>
      <c r="K58" s="25"/>
      <c r="L58" s="26"/>
    </row>
    <row r="59" spans="1:17" ht="16.5" x14ac:dyDescent="0.35">
      <c r="B59" s="97"/>
      <c r="C59" s="98"/>
      <c r="D59" s="99"/>
      <c r="E59" s="27"/>
      <c r="F59" s="25"/>
      <c r="G59" s="25"/>
      <c r="H59" s="8"/>
      <c r="I59" s="25"/>
      <c r="J59" s="25"/>
      <c r="K59" s="25"/>
      <c r="L59" s="26"/>
      <c r="O59" s="100" t="s">
        <v>36</v>
      </c>
      <c r="P59" s="100"/>
      <c r="Q59" s="100"/>
    </row>
    <row r="60" spans="1:17" ht="16.5" x14ac:dyDescent="0.35">
      <c r="B60" s="102"/>
      <c r="C60" s="103"/>
      <c r="D60" s="104"/>
      <c r="E60" s="28"/>
      <c r="F60" s="25"/>
      <c r="G60" s="25"/>
      <c r="H60" s="24">
        <f>SUM(H42:H58)</f>
        <v>7762.5</v>
      </c>
      <c r="I60" s="25"/>
      <c r="J60" s="25"/>
      <c r="K60" s="24">
        <f>SUM(K42:K58)</f>
        <v>0</v>
      </c>
      <c r="L60" s="28">
        <f>SUM(H60:K60)</f>
        <v>7762.5</v>
      </c>
      <c r="O60" s="101" t="s">
        <v>37</v>
      </c>
      <c r="P60" s="101"/>
      <c r="Q60" s="101"/>
    </row>
    <row r="61" spans="1:17" ht="16.5" x14ac:dyDescent="0.35">
      <c r="J61" s="30"/>
      <c r="K61" s="30"/>
      <c r="L61" s="31"/>
    </row>
    <row r="62" spans="1:17" x14ac:dyDescent="0.25">
      <c r="J62" s="30"/>
      <c r="K62" s="30"/>
      <c r="L62" s="32"/>
    </row>
    <row r="63" spans="1:17" x14ac:dyDescent="0.25">
      <c r="J63" s="30"/>
      <c r="K63" s="30"/>
      <c r="L63" s="32"/>
    </row>
    <row r="64" spans="1:17" x14ac:dyDescent="0.25">
      <c r="E64" t="s">
        <v>43</v>
      </c>
      <c r="J64" s="30"/>
      <c r="K64" s="30"/>
      <c r="L64" s="32"/>
    </row>
    <row r="65" spans="1:17" x14ac:dyDescent="0.25">
      <c r="J65" s="30"/>
      <c r="K65" s="30"/>
      <c r="L65" s="32"/>
    </row>
    <row r="66" spans="1:17" x14ac:dyDescent="0.25">
      <c r="J66" s="30"/>
      <c r="K66" s="30"/>
      <c r="L66" s="32"/>
    </row>
    <row r="67" spans="1:17" x14ac:dyDescent="0.25">
      <c r="B67" s="87" t="s">
        <v>0</v>
      </c>
      <c r="C67" s="87"/>
      <c r="D67" s="87"/>
      <c r="E67" s="87"/>
      <c r="F67" s="87"/>
      <c r="G67" s="87"/>
      <c r="H67" s="87"/>
      <c r="I67" s="87"/>
      <c r="J67" s="87"/>
      <c r="K67" s="87"/>
      <c r="L67" s="87"/>
    </row>
    <row r="68" spans="1:17" x14ac:dyDescent="0.25">
      <c r="B68" s="87" t="s">
        <v>1</v>
      </c>
      <c r="C68" s="87"/>
      <c r="D68" s="87"/>
      <c r="E68" s="87"/>
      <c r="F68" s="87"/>
      <c r="G68" s="87"/>
      <c r="H68" s="87"/>
      <c r="I68" s="87"/>
      <c r="J68" s="87"/>
      <c r="K68" s="87"/>
      <c r="L68" s="87"/>
    </row>
    <row r="69" spans="1:17" x14ac:dyDescent="0.25">
      <c r="J69" s="30"/>
      <c r="K69" s="30"/>
      <c r="L69" s="32"/>
    </row>
    <row r="70" spans="1:17" x14ac:dyDescent="0.25">
      <c r="B70" s="94" t="s">
        <v>44</v>
      </c>
      <c r="C70" s="94"/>
      <c r="D70" s="94"/>
      <c r="E70" s="94"/>
      <c r="F70" s="94"/>
      <c r="G70" s="94"/>
      <c r="H70" s="94"/>
      <c r="I70" s="94"/>
      <c r="J70" s="94"/>
      <c r="K70" s="94"/>
      <c r="L70" s="94"/>
    </row>
    <row r="72" spans="1:17" ht="23.25" x14ac:dyDescent="0.25">
      <c r="B72" s="25" t="s">
        <v>3</v>
      </c>
      <c r="C72" s="4" t="s">
        <v>4</v>
      </c>
      <c r="D72" s="4" t="s">
        <v>5</v>
      </c>
      <c r="E72" s="4" t="s">
        <v>6</v>
      </c>
      <c r="F72" s="4" t="s">
        <v>7</v>
      </c>
      <c r="G72" s="4" t="s">
        <v>8</v>
      </c>
      <c r="H72" s="4" t="s">
        <v>6</v>
      </c>
      <c r="I72" s="4" t="s">
        <v>9</v>
      </c>
      <c r="J72" s="4" t="s">
        <v>10</v>
      </c>
      <c r="K72" s="4" t="s">
        <v>6</v>
      </c>
      <c r="L72" s="4" t="s">
        <v>11</v>
      </c>
      <c r="O72" s="89" t="s">
        <v>0</v>
      </c>
      <c r="P72" s="90"/>
      <c r="Q72" s="91"/>
    </row>
    <row r="73" spans="1:17" x14ac:dyDescent="0.25">
      <c r="A73" s="5" t="s">
        <v>12</v>
      </c>
      <c r="B73" s="6">
        <v>46296</v>
      </c>
      <c r="C73" s="7">
        <v>8</v>
      </c>
      <c r="D73" s="8">
        <v>1725</v>
      </c>
      <c r="E73" s="8">
        <f t="shared" ref="E73:E74" si="10">+C73*D73</f>
        <v>13800</v>
      </c>
      <c r="F73" s="9"/>
      <c r="G73" s="8">
        <f t="shared" ref="G73:G77" si="11">+D73*1.5</f>
        <v>2587.5</v>
      </c>
      <c r="H73" s="8">
        <f t="shared" ref="H73:H87" si="12">+F73*G73</f>
        <v>0</v>
      </c>
      <c r="I73" s="9"/>
      <c r="J73" s="8"/>
      <c r="K73" s="8">
        <f t="shared" ref="K73:K87" si="13">+I73*J73</f>
        <v>0</v>
      </c>
      <c r="L73" s="8">
        <f t="shared" ref="L73:L87" si="14">+E73+H73+K73</f>
        <v>13800</v>
      </c>
      <c r="O73" s="89" t="s">
        <v>13</v>
      </c>
      <c r="P73" s="90"/>
      <c r="Q73" s="91"/>
    </row>
    <row r="74" spans="1:17" x14ac:dyDescent="0.25">
      <c r="A74" s="5" t="s">
        <v>14</v>
      </c>
      <c r="B74" s="6">
        <v>46297</v>
      </c>
      <c r="C74" s="7">
        <v>8</v>
      </c>
      <c r="D74" s="8">
        <v>1725</v>
      </c>
      <c r="E74" s="8">
        <f t="shared" si="10"/>
        <v>13800</v>
      </c>
      <c r="F74" s="9"/>
      <c r="G74" s="8">
        <f t="shared" si="11"/>
        <v>2587.5</v>
      </c>
      <c r="H74" s="8">
        <f t="shared" si="12"/>
        <v>0</v>
      </c>
      <c r="I74" s="9"/>
      <c r="J74" s="8"/>
      <c r="K74" s="8">
        <f t="shared" si="13"/>
        <v>0</v>
      </c>
      <c r="L74" s="8">
        <f t="shared" si="14"/>
        <v>13800</v>
      </c>
      <c r="O74" s="10" t="s">
        <v>15</v>
      </c>
      <c r="P74" s="92" t="s">
        <v>45</v>
      </c>
      <c r="Q74" s="93"/>
    </row>
    <row r="75" spans="1:17" x14ac:dyDescent="0.25">
      <c r="A75" s="33" t="s">
        <v>17</v>
      </c>
      <c r="B75" s="34">
        <v>46298</v>
      </c>
      <c r="C75" s="7">
        <v>8</v>
      </c>
      <c r="D75" s="8">
        <v>1725</v>
      </c>
      <c r="E75" s="8">
        <f>+C75*D75</f>
        <v>13800</v>
      </c>
      <c r="F75" s="9">
        <v>3</v>
      </c>
      <c r="G75" s="8">
        <f t="shared" si="11"/>
        <v>2587.5</v>
      </c>
      <c r="H75" s="8">
        <f t="shared" si="12"/>
        <v>7762.5</v>
      </c>
      <c r="I75" s="9"/>
      <c r="J75" s="8"/>
      <c r="K75" s="8">
        <f t="shared" si="13"/>
        <v>0</v>
      </c>
      <c r="L75" s="8">
        <f>+E75+H75+K75</f>
        <v>21562.5</v>
      </c>
      <c r="M75" t="s">
        <v>46</v>
      </c>
      <c r="O75" s="10" t="str">
        <f>+O12</f>
        <v>FECHA:         15/10/2026</v>
      </c>
      <c r="P75" s="11" t="s">
        <v>19</v>
      </c>
      <c r="Q75" s="12">
        <f>+Q12</f>
        <v>419755.93</v>
      </c>
    </row>
    <row r="76" spans="1:17" x14ac:dyDescent="0.25">
      <c r="A76" s="33" t="s">
        <v>20</v>
      </c>
      <c r="B76" s="34">
        <v>46299</v>
      </c>
      <c r="C76" s="7">
        <v>8</v>
      </c>
      <c r="D76" s="8">
        <v>1725</v>
      </c>
      <c r="E76" s="8">
        <f>+C76*D76</f>
        <v>13800</v>
      </c>
      <c r="F76" s="9">
        <v>3</v>
      </c>
      <c r="G76" s="8">
        <f t="shared" si="11"/>
        <v>2587.5</v>
      </c>
      <c r="H76" s="8">
        <f t="shared" si="12"/>
        <v>7762.5</v>
      </c>
      <c r="I76" s="9"/>
      <c r="J76" s="8"/>
      <c r="K76" s="8">
        <f t="shared" si="13"/>
        <v>0</v>
      </c>
      <c r="L76" s="8">
        <f>+E76+H76+K76</f>
        <v>21562.5</v>
      </c>
      <c r="M76" t="s">
        <v>46</v>
      </c>
      <c r="O76" s="10" t="s">
        <v>21</v>
      </c>
      <c r="P76" s="13">
        <f>+Q75/2</f>
        <v>209877.965</v>
      </c>
      <c r="Q76" s="14"/>
    </row>
    <row r="77" spans="1:17" x14ac:dyDescent="0.25">
      <c r="A77" s="5" t="s">
        <v>22</v>
      </c>
      <c r="B77" s="6">
        <v>46300</v>
      </c>
      <c r="C77" s="7">
        <v>8</v>
      </c>
      <c r="D77" s="8">
        <v>1725</v>
      </c>
      <c r="E77" s="8">
        <f>+C77*D77</f>
        <v>13800</v>
      </c>
      <c r="F77" s="9"/>
      <c r="G77" s="8">
        <f t="shared" si="11"/>
        <v>2587.5</v>
      </c>
      <c r="H77" s="8">
        <f t="shared" si="12"/>
        <v>0</v>
      </c>
      <c r="I77" s="9"/>
      <c r="J77" s="8"/>
      <c r="K77" s="8">
        <f t="shared" si="13"/>
        <v>0</v>
      </c>
      <c r="L77" s="8">
        <f>+E77+H77+K77</f>
        <v>13800</v>
      </c>
      <c r="O77" s="10" t="s">
        <v>23</v>
      </c>
      <c r="P77" s="13">
        <f>+H91</f>
        <v>23287.5</v>
      </c>
      <c r="Q77" s="14"/>
    </row>
    <row r="78" spans="1:17" x14ac:dyDescent="0.25">
      <c r="A78" s="36" t="s">
        <v>24</v>
      </c>
      <c r="B78" s="6">
        <v>46301</v>
      </c>
      <c r="C78" s="7">
        <v>8</v>
      </c>
      <c r="D78" s="8">
        <v>1725</v>
      </c>
      <c r="E78" s="8">
        <f>+C78*D78</f>
        <v>13800</v>
      </c>
      <c r="F78" s="9"/>
      <c r="G78" s="8">
        <f>+D78*1.5</f>
        <v>2587.5</v>
      </c>
      <c r="H78" s="8">
        <f t="shared" si="12"/>
        <v>0</v>
      </c>
      <c r="I78" s="9"/>
      <c r="J78" s="8"/>
      <c r="K78" s="8">
        <f t="shared" si="13"/>
        <v>0</v>
      </c>
      <c r="L78" s="8">
        <f t="shared" si="14"/>
        <v>13800</v>
      </c>
      <c r="O78" s="10" t="s">
        <v>9</v>
      </c>
      <c r="P78" s="13">
        <f>+K91</f>
        <v>0</v>
      </c>
      <c r="Q78" s="14"/>
    </row>
    <row r="79" spans="1:17" x14ac:dyDescent="0.25">
      <c r="A79" s="36" t="s">
        <v>25</v>
      </c>
      <c r="B79" s="6">
        <v>46302</v>
      </c>
      <c r="C79" s="7">
        <v>6</v>
      </c>
      <c r="D79" s="8">
        <v>1725</v>
      </c>
      <c r="E79" s="8">
        <f t="shared" ref="E79:E87" si="15">+C79*D79</f>
        <v>10350</v>
      </c>
      <c r="F79" s="9"/>
      <c r="G79" s="8">
        <f t="shared" ref="G79:G87" si="16">+D79*1.5</f>
        <v>2587.5</v>
      </c>
      <c r="H79" s="8">
        <f>+F79*G79</f>
        <v>0</v>
      </c>
      <c r="I79" s="9"/>
      <c r="J79" s="8"/>
      <c r="K79" s="8">
        <f t="shared" si="13"/>
        <v>0</v>
      </c>
      <c r="L79" s="8">
        <f t="shared" si="14"/>
        <v>10350</v>
      </c>
      <c r="M79" t="s">
        <v>47</v>
      </c>
      <c r="O79" s="10" t="s">
        <v>26</v>
      </c>
      <c r="P79" s="13"/>
      <c r="Q79" s="14"/>
    </row>
    <row r="80" spans="1:17" x14ac:dyDescent="0.25">
      <c r="A80" s="5" t="s">
        <v>12</v>
      </c>
      <c r="B80" s="6">
        <v>46303</v>
      </c>
      <c r="C80" s="7">
        <v>8</v>
      </c>
      <c r="D80" s="8">
        <v>1725</v>
      </c>
      <c r="E80" s="8">
        <f t="shared" si="15"/>
        <v>13800</v>
      </c>
      <c r="F80" s="9"/>
      <c r="G80" s="8">
        <f t="shared" si="16"/>
        <v>2587.5</v>
      </c>
      <c r="H80" s="8">
        <f t="shared" si="12"/>
        <v>0</v>
      </c>
      <c r="I80" s="9"/>
      <c r="J80" s="8"/>
      <c r="K80" s="8">
        <f t="shared" si="13"/>
        <v>0</v>
      </c>
      <c r="L80" s="8">
        <f t="shared" si="14"/>
        <v>13800</v>
      </c>
      <c r="O80" s="17" t="s">
        <v>28</v>
      </c>
      <c r="P80" s="18">
        <f>SUM(P76:P79)</f>
        <v>233165.465</v>
      </c>
      <c r="Q80" s="19">
        <f>+P80</f>
        <v>233165.465</v>
      </c>
    </row>
    <row r="81" spans="1:17" x14ac:dyDescent="0.25">
      <c r="A81" s="36" t="s">
        <v>14</v>
      </c>
      <c r="B81" s="6">
        <v>46304</v>
      </c>
      <c r="C81" s="7">
        <v>8</v>
      </c>
      <c r="D81" s="8">
        <v>1725</v>
      </c>
      <c r="E81" s="8">
        <f t="shared" si="15"/>
        <v>13800</v>
      </c>
      <c r="F81" s="9"/>
      <c r="G81" s="8">
        <f t="shared" si="16"/>
        <v>2587.5</v>
      </c>
      <c r="H81" s="8">
        <f t="shared" si="12"/>
        <v>0</v>
      </c>
      <c r="I81" s="9"/>
      <c r="J81" s="8"/>
      <c r="K81" s="8">
        <f t="shared" si="13"/>
        <v>0</v>
      </c>
      <c r="L81" s="8">
        <f t="shared" si="14"/>
        <v>13800</v>
      </c>
      <c r="O81" s="83" t="s">
        <v>29</v>
      </c>
      <c r="P81" s="84"/>
      <c r="Q81" s="20"/>
    </row>
    <row r="82" spans="1:17" x14ac:dyDescent="0.25">
      <c r="A82" s="5" t="s">
        <v>17</v>
      </c>
      <c r="B82" s="6">
        <v>46305</v>
      </c>
      <c r="C82" s="7">
        <v>8</v>
      </c>
      <c r="D82" s="8">
        <v>1725</v>
      </c>
      <c r="E82" s="8">
        <f t="shared" si="15"/>
        <v>13800</v>
      </c>
      <c r="F82" s="9"/>
      <c r="G82" s="8">
        <f t="shared" si="16"/>
        <v>2587.5</v>
      </c>
      <c r="H82" s="8">
        <f t="shared" si="12"/>
        <v>0</v>
      </c>
      <c r="I82" s="9"/>
      <c r="J82" s="8"/>
      <c r="K82" s="8">
        <f t="shared" si="13"/>
        <v>0</v>
      </c>
      <c r="L82" s="8">
        <f t="shared" si="14"/>
        <v>13800</v>
      </c>
      <c r="O82" s="85" t="str">
        <f>+O19</f>
        <v>CCSS 10.83%</v>
      </c>
      <c r="P82" s="86"/>
      <c r="Q82" s="21">
        <f>+Q19</f>
        <v>22729.783609500002</v>
      </c>
    </row>
    <row r="83" spans="1:17" x14ac:dyDescent="0.25">
      <c r="A83" s="33" t="s">
        <v>20</v>
      </c>
      <c r="B83" s="34">
        <v>46306</v>
      </c>
      <c r="C83" s="7">
        <v>8</v>
      </c>
      <c r="D83" s="8">
        <v>1725</v>
      </c>
      <c r="E83" s="8">
        <f t="shared" si="15"/>
        <v>13800</v>
      </c>
      <c r="F83" s="9">
        <v>3</v>
      </c>
      <c r="G83" s="8">
        <f t="shared" si="16"/>
        <v>2587.5</v>
      </c>
      <c r="H83" s="8">
        <f t="shared" si="12"/>
        <v>7762.5</v>
      </c>
      <c r="I83" s="9"/>
      <c r="J83" s="8"/>
      <c r="K83" s="8">
        <f t="shared" si="13"/>
        <v>0</v>
      </c>
      <c r="L83" s="8">
        <f t="shared" si="14"/>
        <v>21562.5</v>
      </c>
      <c r="M83" t="s">
        <v>46</v>
      </c>
      <c r="O83" s="85" t="s">
        <v>31</v>
      </c>
      <c r="P83" s="86"/>
      <c r="Q83" s="21">
        <v>12124</v>
      </c>
    </row>
    <row r="84" spans="1:17" x14ac:dyDescent="0.25">
      <c r="A84" s="5" t="s">
        <v>22</v>
      </c>
      <c r="B84" s="6">
        <v>46307</v>
      </c>
      <c r="C84" s="7">
        <v>8</v>
      </c>
      <c r="D84" s="8">
        <v>1725</v>
      </c>
      <c r="E84" s="8">
        <f t="shared" si="15"/>
        <v>13800</v>
      </c>
      <c r="F84" s="9"/>
      <c r="G84" s="8">
        <f t="shared" si="16"/>
        <v>2587.5</v>
      </c>
      <c r="H84" s="8">
        <f t="shared" si="12"/>
        <v>0</v>
      </c>
      <c r="I84" s="9"/>
      <c r="J84" s="8"/>
      <c r="K84" s="8">
        <f t="shared" si="13"/>
        <v>0</v>
      </c>
      <c r="L84" s="8">
        <f t="shared" si="14"/>
        <v>13800</v>
      </c>
      <c r="O84" s="85" t="s">
        <v>32</v>
      </c>
      <c r="P84" s="86"/>
      <c r="Q84" s="21"/>
    </row>
    <row r="85" spans="1:17" x14ac:dyDescent="0.25">
      <c r="A85" s="5" t="s">
        <v>24</v>
      </c>
      <c r="B85" s="6">
        <v>46308</v>
      </c>
      <c r="C85" s="7">
        <v>8</v>
      </c>
      <c r="D85" s="8">
        <v>1725</v>
      </c>
      <c r="E85" s="8">
        <f t="shared" si="15"/>
        <v>13800</v>
      </c>
      <c r="F85" s="9"/>
      <c r="G85" s="8">
        <f t="shared" si="16"/>
        <v>2587.5</v>
      </c>
      <c r="H85" s="8">
        <f t="shared" si="12"/>
        <v>0</v>
      </c>
      <c r="I85" s="9"/>
      <c r="J85" s="8"/>
      <c r="K85" s="8">
        <f t="shared" si="13"/>
        <v>0</v>
      </c>
      <c r="L85" s="8">
        <f t="shared" si="14"/>
        <v>13800</v>
      </c>
      <c r="O85" s="85" t="s">
        <v>33</v>
      </c>
      <c r="P85" s="86"/>
      <c r="Q85" s="21">
        <v>3450</v>
      </c>
    </row>
    <row r="86" spans="1:17" x14ac:dyDescent="0.25">
      <c r="A86" s="5" t="s">
        <v>25</v>
      </c>
      <c r="B86" s="6">
        <v>46309</v>
      </c>
      <c r="C86" s="7">
        <v>8</v>
      </c>
      <c r="D86" s="8">
        <v>1725</v>
      </c>
      <c r="E86" s="8">
        <f t="shared" si="15"/>
        <v>13800</v>
      </c>
      <c r="F86" s="9"/>
      <c r="G86" s="8">
        <f t="shared" si="16"/>
        <v>2587.5</v>
      </c>
      <c r="H86" s="8">
        <f t="shared" si="12"/>
        <v>0</v>
      </c>
      <c r="I86" s="9"/>
      <c r="J86" s="8"/>
      <c r="K86" s="8">
        <f t="shared" si="13"/>
        <v>0</v>
      </c>
      <c r="L86" s="8">
        <f t="shared" si="14"/>
        <v>13800</v>
      </c>
      <c r="O86" s="85" t="s">
        <v>34</v>
      </c>
      <c r="P86" s="86"/>
      <c r="Q86" s="21">
        <f>SUM(Q82:Q85)</f>
        <v>38303.783609500002</v>
      </c>
    </row>
    <row r="87" spans="1:17" x14ac:dyDescent="0.25">
      <c r="A87" s="5" t="s">
        <v>12</v>
      </c>
      <c r="B87" s="6">
        <v>46310</v>
      </c>
      <c r="C87" s="7">
        <v>8</v>
      </c>
      <c r="D87" s="8">
        <v>1725</v>
      </c>
      <c r="E87" s="8">
        <f t="shared" si="15"/>
        <v>13800</v>
      </c>
      <c r="F87" s="9"/>
      <c r="G87" s="8">
        <f t="shared" si="16"/>
        <v>2587.5</v>
      </c>
      <c r="H87" s="8">
        <f t="shared" si="12"/>
        <v>0</v>
      </c>
      <c r="I87" s="9"/>
      <c r="J87" s="8"/>
      <c r="K87" s="8">
        <f t="shared" si="13"/>
        <v>0</v>
      </c>
      <c r="L87" s="8">
        <f t="shared" si="14"/>
        <v>13800</v>
      </c>
      <c r="O87" s="95"/>
      <c r="P87" s="96"/>
      <c r="Q87" s="14"/>
    </row>
    <row r="88" spans="1:17" ht="16.5" x14ac:dyDescent="0.35">
      <c r="A88" s="5"/>
      <c r="B88" s="6"/>
      <c r="C88" s="7"/>
      <c r="D88" s="8"/>
      <c r="E88" s="8"/>
      <c r="F88" s="9"/>
      <c r="G88" s="8"/>
      <c r="H88" s="8"/>
      <c r="I88" s="9"/>
      <c r="J88" s="8"/>
      <c r="K88" s="8"/>
      <c r="L88" s="8"/>
      <c r="O88" s="85" t="s">
        <v>35</v>
      </c>
      <c r="P88" s="86"/>
      <c r="Q88" s="22">
        <f>Q80-Q86</f>
        <v>194861.68139049999</v>
      </c>
    </row>
    <row r="89" spans="1:17" x14ac:dyDescent="0.25">
      <c r="B89" s="35"/>
      <c r="C89" s="7"/>
      <c r="D89" s="8"/>
      <c r="E89" s="8"/>
      <c r="F89" s="9"/>
      <c r="G89" s="8"/>
      <c r="H89" s="8"/>
      <c r="I89" s="9"/>
      <c r="J89" s="8"/>
      <c r="K89" s="8"/>
      <c r="L89" s="8"/>
    </row>
    <row r="90" spans="1:17" ht="16.5" x14ac:dyDescent="0.35">
      <c r="B90" s="97"/>
      <c r="C90" s="98"/>
      <c r="D90" s="99"/>
      <c r="E90" s="27"/>
      <c r="F90" s="25"/>
      <c r="G90" s="25"/>
      <c r="H90" s="8"/>
      <c r="I90" s="25"/>
      <c r="J90" s="25"/>
      <c r="K90" s="25"/>
      <c r="L90" s="26"/>
      <c r="O90" s="100" t="s">
        <v>36</v>
      </c>
      <c r="P90" s="100"/>
      <c r="Q90" s="100"/>
    </row>
    <row r="91" spans="1:17" ht="16.5" x14ac:dyDescent="0.35">
      <c r="B91" s="102"/>
      <c r="C91" s="103"/>
      <c r="D91" s="104"/>
      <c r="E91" s="28"/>
      <c r="F91" s="25"/>
      <c r="G91" s="25"/>
      <c r="H91" s="24">
        <f>SUM(H73:H89)</f>
        <v>23287.5</v>
      </c>
      <c r="I91" s="25"/>
      <c r="J91" s="25"/>
      <c r="K91" s="24">
        <f>SUM(K73:K89)</f>
        <v>0</v>
      </c>
      <c r="L91" s="28">
        <f>SUM(H91:K91)</f>
        <v>23287.5</v>
      </c>
      <c r="O91" s="101" t="s">
        <v>37</v>
      </c>
      <c r="P91" s="101"/>
      <c r="Q91" s="101"/>
    </row>
    <row r="92" spans="1:17" ht="16.5" x14ac:dyDescent="0.35">
      <c r="J92" s="30"/>
      <c r="K92" s="30"/>
      <c r="L92" s="31"/>
    </row>
    <row r="93" spans="1:17" x14ac:dyDescent="0.25">
      <c r="J93" s="30"/>
      <c r="K93" s="30"/>
      <c r="L93" s="32"/>
    </row>
    <row r="94" spans="1:17" x14ac:dyDescent="0.25">
      <c r="J94" s="30"/>
      <c r="K94" s="30"/>
      <c r="L94" s="32"/>
    </row>
    <row r="95" spans="1:17" x14ac:dyDescent="0.25">
      <c r="J95" s="30"/>
      <c r="K95" s="30"/>
      <c r="L95" s="32"/>
    </row>
    <row r="96" spans="1:17" x14ac:dyDescent="0.25">
      <c r="E96" t="s">
        <v>48</v>
      </c>
      <c r="J96" s="30"/>
      <c r="K96" s="30"/>
      <c r="L96" s="32"/>
    </row>
    <row r="97" spans="1:17" x14ac:dyDescent="0.25">
      <c r="J97" s="30"/>
      <c r="K97" s="30"/>
      <c r="L97" s="32"/>
    </row>
    <row r="98" spans="1:17" x14ac:dyDescent="0.25">
      <c r="J98" s="30"/>
      <c r="K98" s="30"/>
      <c r="L98" s="32"/>
    </row>
    <row r="99" spans="1:17" x14ac:dyDescent="0.25">
      <c r="J99" s="30"/>
      <c r="K99" s="30"/>
      <c r="L99" s="32"/>
    </row>
    <row r="100" spans="1:17" x14ac:dyDescent="0.25">
      <c r="J100" s="30"/>
      <c r="K100" s="30"/>
      <c r="L100" s="32"/>
    </row>
    <row r="101" spans="1:17" x14ac:dyDescent="0.25">
      <c r="B101" s="87" t="s">
        <v>0</v>
      </c>
      <c r="C101" s="87"/>
      <c r="D101" s="87"/>
      <c r="E101" s="87"/>
      <c r="F101" s="87"/>
      <c r="G101" s="87"/>
      <c r="H101" s="87"/>
      <c r="I101" s="87"/>
      <c r="J101" s="87"/>
      <c r="K101" s="87"/>
      <c r="L101" s="87"/>
    </row>
    <row r="102" spans="1:17" x14ac:dyDescent="0.25">
      <c r="B102" s="87" t="s">
        <v>1</v>
      </c>
      <c r="C102" s="87"/>
      <c r="D102" s="87"/>
      <c r="E102" s="87"/>
      <c r="F102" s="87"/>
      <c r="G102" s="87"/>
      <c r="H102" s="87"/>
      <c r="I102" s="87"/>
      <c r="J102" s="87"/>
      <c r="K102" s="87"/>
      <c r="L102" s="87"/>
    </row>
    <row r="103" spans="1:17" x14ac:dyDescent="0.25">
      <c r="J103" s="30"/>
      <c r="K103" s="30"/>
      <c r="L103" s="32"/>
    </row>
    <row r="104" spans="1:17" x14ac:dyDescent="0.25">
      <c r="B104" s="94" t="s">
        <v>49</v>
      </c>
      <c r="C104" s="94"/>
      <c r="D104" s="94"/>
      <c r="E104" s="94"/>
      <c r="F104" s="94"/>
      <c r="G104" s="94"/>
      <c r="H104" s="94"/>
      <c r="I104" s="94"/>
      <c r="J104" s="94"/>
      <c r="K104" s="94"/>
      <c r="L104" s="94"/>
    </row>
    <row r="106" spans="1:17" ht="23.25" x14ac:dyDescent="0.25">
      <c r="B106" s="25" t="s">
        <v>3</v>
      </c>
      <c r="C106" s="4" t="s">
        <v>4</v>
      </c>
      <c r="D106" s="4" t="s">
        <v>5</v>
      </c>
      <c r="E106" s="4" t="s">
        <v>6</v>
      </c>
      <c r="F106" s="4" t="s">
        <v>7</v>
      </c>
      <c r="G106" s="4" t="s">
        <v>8</v>
      </c>
      <c r="H106" s="4" t="s">
        <v>6</v>
      </c>
      <c r="I106" s="4" t="s">
        <v>9</v>
      </c>
      <c r="J106" s="4" t="s">
        <v>10</v>
      </c>
      <c r="K106" s="4" t="s">
        <v>6</v>
      </c>
      <c r="L106" s="4" t="s">
        <v>11</v>
      </c>
      <c r="O106" s="89" t="s">
        <v>0</v>
      </c>
      <c r="P106" s="90"/>
      <c r="Q106" s="91"/>
    </row>
    <row r="107" spans="1:17" x14ac:dyDescent="0.25">
      <c r="A107" s="33" t="s">
        <v>12</v>
      </c>
      <c r="B107" s="34">
        <v>46296</v>
      </c>
      <c r="C107" s="7"/>
      <c r="D107" s="8">
        <v>1971.43</v>
      </c>
      <c r="E107" s="8">
        <f t="shared" ref="E107:E121" si="17">+C107*D107</f>
        <v>0</v>
      </c>
      <c r="F107" s="9"/>
      <c r="G107" s="8">
        <f t="shared" ref="G107:G121" si="18">+D107*1.5</f>
        <v>2957.145</v>
      </c>
      <c r="H107" s="8">
        <f t="shared" ref="H107:H121" si="19">+F107*G107</f>
        <v>0</v>
      </c>
      <c r="I107" s="9"/>
      <c r="J107" s="8"/>
      <c r="K107" s="8">
        <f t="shared" ref="K107:K121" si="20">+I107*J107</f>
        <v>0</v>
      </c>
      <c r="L107" s="8">
        <f t="shared" ref="L107:L121" si="21">+E107+H107+K107</f>
        <v>0</v>
      </c>
      <c r="M107" t="s">
        <v>50</v>
      </c>
      <c r="O107" s="89" t="s">
        <v>13</v>
      </c>
      <c r="P107" s="90"/>
      <c r="Q107" s="91"/>
    </row>
    <row r="108" spans="1:17" x14ac:dyDescent="0.25">
      <c r="A108" s="5" t="s">
        <v>14</v>
      </c>
      <c r="B108" s="6">
        <v>46297</v>
      </c>
      <c r="C108" s="7">
        <v>7</v>
      </c>
      <c r="D108" s="8">
        <v>1971.43</v>
      </c>
      <c r="E108" s="8">
        <f t="shared" si="17"/>
        <v>13800.01</v>
      </c>
      <c r="F108" s="9"/>
      <c r="G108" s="8">
        <f t="shared" si="18"/>
        <v>2957.145</v>
      </c>
      <c r="H108" s="8">
        <f t="shared" si="19"/>
        <v>0</v>
      </c>
      <c r="I108" s="9"/>
      <c r="J108" s="8"/>
      <c r="K108" s="8">
        <f t="shared" si="20"/>
        <v>0</v>
      </c>
      <c r="L108" s="8">
        <f t="shared" si="21"/>
        <v>13800.01</v>
      </c>
      <c r="O108" s="10" t="s">
        <v>15</v>
      </c>
      <c r="P108" s="92" t="s">
        <v>51</v>
      </c>
      <c r="Q108" s="93"/>
    </row>
    <row r="109" spans="1:17" x14ac:dyDescent="0.25">
      <c r="A109" s="5" t="s">
        <v>17</v>
      </c>
      <c r="B109" s="6">
        <v>46298</v>
      </c>
      <c r="C109" s="7">
        <v>7</v>
      </c>
      <c r="D109" s="8">
        <v>1971.43</v>
      </c>
      <c r="E109" s="8">
        <f t="shared" si="17"/>
        <v>13800.01</v>
      </c>
      <c r="F109" s="9"/>
      <c r="G109" s="8">
        <f t="shared" si="18"/>
        <v>2957.145</v>
      </c>
      <c r="H109" s="8">
        <f t="shared" si="19"/>
        <v>0</v>
      </c>
      <c r="I109" s="9"/>
      <c r="J109" s="8"/>
      <c r="K109" s="8">
        <f t="shared" si="20"/>
        <v>0</v>
      </c>
      <c r="L109" s="8">
        <f t="shared" si="21"/>
        <v>13800.01</v>
      </c>
      <c r="O109" s="10" t="str">
        <f>+O12</f>
        <v>FECHA:         15/10/2026</v>
      </c>
      <c r="P109" s="11" t="s">
        <v>19</v>
      </c>
      <c r="Q109" s="12">
        <f>+Q12</f>
        <v>419755.93</v>
      </c>
    </row>
    <row r="110" spans="1:17" x14ac:dyDescent="0.25">
      <c r="A110" s="5" t="s">
        <v>20</v>
      </c>
      <c r="B110" s="6">
        <v>46299</v>
      </c>
      <c r="C110" s="7">
        <v>6</v>
      </c>
      <c r="D110" s="8">
        <v>2300</v>
      </c>
      <c r="E110" s="8">
        <f t="shared" si="17"/>
        <v>13800</v>
      </c>
      <c r="F110" s="9">
        <v>1</v>
      </c>
      <c r="G110" s="8">
        <f t="shared" si="18"/>
        <v>3450</v>
      </c>
      <c r="H110" s="8">
        <f t="shared" si="19"/>
        <v>3450</v>
      </c>
      <c r="I110" s="9"/>
      <c r="J110" s="8"/>
      <c r="K110" s="8">
        <f t="shared" si="20"/>
        <v>0</v>
      </c>
      <c r="L110" s="8">
        <f t="shared" si="21"/>
        <v>17250</v>
      </c>
      <c r="O110" s="10" t="s">
        <v>21</v>
      </c>
      <c r="P110" s="13">
        <f>+Q109/2</f>
        <v>209877.965</v>
      </c>
      <c r="Q110" s="14"/>
    </row>
    <row r="111" spans="1:17" x14ac:dyDescent="0.25">
      <c r="A111" s="5" t="s">
        <v>22</v>
      </c>
      <c r="B111" s="6">
        <v>46300</v>
      </c>
      <c r="C111" s="7">
        <v>6</v>
      </c>
      <c r="D111" s="8">
        <v>2300</v>
      </c>
      <c r="E111" s="8">
        <f t="shared" si="17"/>
        <v>13800</v>
      </c>
      <c r="F111" s="9">
        <v>1</v>
      </c>
      <c r="G111" s="8">
        <f t="shared" si="18"/>
        <v>3450</v>
      </c>
      <c r="H111" s="8">
        <f t="shared" si="19"/>
        <v>3450</v>
      </c>
      <c r="I111" s="9"/>
      <c r="J111" s="8"/>
      <c r="K111" s="8">
        <f t="shared" si="20"/>
        <v>0</v>
      </c>
      <c r="L111" s="8">
        <f t="shared" si="21"/>
        <v>17250</v>
      </c>
      <c r="O111" s="10" t="s">
        <v>23</v>
      </c>
      <c r="P111" s="13">
        <f>+H125</f>
        <v>32200</v>
      </c>
      <c r="Q111" s="14"/>
    </row>
    <row r="112" spans="1:17" x14ac:dyDescent="0.25">
      <c r="A112" s="5" t="s">
        <v>24</v>
      </c>
      <c r="B112" s="6">
        <v>46301</v>
      </c>
      <c r="C112" s="7">
        <v>6</v>
      </c>
      <c r="D112" s="8">
        <v>2300</v>
      </c>
      <c r="E112" s="8">
        <f t="shared" si="17"/>
        <v>13800</v>
      </c>
      <c r="F112" s="9">
        <v>1</v>
      </c>
      <c r="G112" s="8">
        <f t="shared" si="18"/>
        <v>3450</v>
      </c>
      <c r="H112" s="8">
        <f t="shared" si="19"/>
        <v>3450</v>
      </c>
      <c r="I112" s="9"/>
      <c r="J112" s="8"/>
      <c r="K112" s="8">
        <f t="shared" si="20"/>
        <v>0</v>
      </c>
      <c r="L112" s="8">
        <f t="shared" si="21"/>
        <v>17250</v>
      </c>
      <c r="O112" s="10" t="s">
        <v>9</v>
      </c>
      <c r="P112" s="13">
        <f>+K125</f>
        <v>13800</v>
      </c>
      <c r="Q112" s="14"/>
    </row>
    <row r="113" spans="1:17" x14ac:dyDescent="0.25">
      <c r="A113" s="5" t="s">
        <v>25</v>
      </c>
      <c r="B113" s="6">
        <v>46302</v>
      </c>
      <c r="C113" s="7">
        <v>6</v>
      </c>
      <c r="D113" s="8">
        <v>2300</v>
      </c>
      <c r="E113" s="8">
        <f t="shared" si="17"/>
        <v>13800</v>
      </c>
      <c r="F113" s="9">
        <v>1</v>
      </c>
      <c r="G113" s="8">
        <f t="shared" si="18"/>
        <v>3450</v>
      </c>
      <c r="H113" s="8">
        <f t="shared" si="19"/>
        <v>3450</v>
      </c>
      <c r="I113" s="9"/>
      <c r="J113" s="8"/>
      <c r="K113" s="8">
        <f t="shared" si="20"/>
        <v>0</v>
      </c>
      <c r="L113" s="8">
        <f t="shared" si="21"/>
        <v>17250</v>
      </c>
      <c r="O113" s="10" t="s">
        <v>26</v>
      </c>
      <c r="P113" s="13"/>
      <c r="Q113" s="14"/>
    </row>
    <row r="114" spans="1:17" x14ac:dyDescent="0.25">
      <c r="A114" s="5" t="s">
        <v>12</v>
      </c>
      <c r="B114" s="6">
        <v>46303</v>
      </c>
      <c r="C114" s="7">
        <v>6</v>
      </c>
      <c r="D114" s="8">
        <v>2300</v>
      </c>
      <c r="E114" s="8">
        <f t="shared" si="17"/>
        <v>13800</v>
      </c>
      <c r="F114" s="9">
        <v>1</v>
      </c>
      <c r="G114" s="8">
        <v>4600</v>
      </c>
      <c r="H114" s="8">
        <f t="shared" si="19"/>
        <v>4600</v>
      </c>
      <c r="I114" s="9">
        <v>6</v>
      </c>
      <c r="J114" s="8">
        <v>2300</v>
      </c>
      <c r="K114" s="8">
        <f t="shared" si="20"/>
        <v>13800</v>
      </c>
      <c r="L114" s="8">
        <f t="shared" si="21"/>
        <v>32200</v>
      </c>
      <c r="O114" s="17" t="s">
        <v>28</v>
      </c>
      <c r="P114" s="18">
        <f>SUM(P110:P113)</f>
        <v>255877.965</v>
      </c>
      <c r="Q114" s="19">
        <f>+P114</f>
        <v>255877.965</v>
      </c>
    </row>
    <row r="115" spans="1:17" x14ac:dyDescent="0.25">
      <c r="A115" s="5" t="s">
        <v>14</v>
      </c>
      <c r="B115" s="6">
        <v>46304</v>
      </c>
      <c r="C115" s="7">
        <v>6</v>
      </c>
      <c r="D115" s="8">
        <v>2300</v>
      </c>
      <c r="E115" s="8">
        <f t="shared" si="17"/>
        <v>13800</v>
      </c>
      <c r="F115" s="9">
        <v>1</v>
      </c>
      <c r="G115" s="8">
        <f t="shared" si="18"/>
        <v>3450</v>
      </c>
      <c r="H115" s="8">
        <f t="shared" si="19"/>
        <v>3450</v>
      </c>
      <c r="I115" s="9"/>
      <c r="J115" s="8"/>
      <c r="K115" s="8">
        <f t="shared" si="20"/>
        <v>0</v>
      </c>
      <c r="L115" s="8">
        <f t="shared" si="21"/>
        <v>17250</v>
      </c>
      <c r="O115" s="83" t="s">
        <v>29</v>
      </c>
      <c r="P115" s="84"/>
      <c r="Q115" s="20"/>
    </row>
    <row r="116" spans="1:17" x14ac:dyDescent="0.25">
      <c r="A116" s="5" t="s">
        <v>17</v>
      </c>
      <c r="B116" s="6">
        <v>46305</v>
      </c>
      <c r="C116" s="7">
        <v>6</v>
      </c>
      <c r="D116" s="8">
        <v>2300</v>
      </c>
      <c r="E116" s="8">
        <f t="shared" si="17"/>
        <v>13800</v>
      </c>
      <c r="F116" s="9">
        <v>3</v>
      </c>
      <c r="G116" s="8">
        <f t="shared" si="18"/>
        <v>3450</v>
      </c>
      <c r="H116" s="8">
        <f t="shared" si="19"/>
        <v>10350</v>
      </c>
      <c r="I116" s="9"/>
      <c r="J116" s="8"/>
      <c r="K116" s="8">
        <f t="shared" si="20"/>
        <v>0</v>
      </c>
      <c r="L116" s="8">
        <f t="shared" si="21"/>
        <v>24150</v>
      </c>
      <c r="O116" s="85" t="str">
        <f>+O19</f>
        <v>CCSS 10.83%</v>
      </c>
      <c r="P116" s="86"/>
      <c r="Q116" s="21">
        <f>+Q19</f>
        <v>22729.783609500002</v>
      </c>
    </row>
    <row r="117" spans="1:17" x14ac:dyDescent="0.25">
      <c r="A117" s="5" t="s">
        <v>20</v>
      </c>
      <c r="B117" s="6">
        <v>46306</v>
      </c>
      <c r="C117" s="7"/>
      <c r="D117" s="8">
        <v>1971.43</v>
      </c>
      <c r="E117" s="8">
        <f t="shared" si="17"/>
        <v>0</v>
      </c>
      <c r="F117" s="9"/>
      <c r="G117" s="8">
        <f t="shared" si="18"/>
        <v>2957.145</v>
      </c>
      <c r="H117" s="8">
        <f t="shared" si="19"/>
        <v>0</v>
      </c>
      <c r="I117" s="9"/>
      <c r="J117" s="8"/>
      <c r="K117" s="8">
        <f t="shared" si="20"/>
        <v>0</v>
      </c>
      <c r="L117" s="8">
        <f t="shared" si="21"/>
        <v>0</v>
      </c>
      <c r="M117" t="s">
        <v>52</v>
      </c>
      <c r="O117" s="85" t="s">
        <v>31</v>
      </c>
      <c r="P117" s="86"/>
      <c r="Q117" s="21">
        <v>58358</v>
      </c>
    </row>
    <row r="118" spans="1:17" x14ac:dyDescent="0.25">
      <c r="A118" s="5" t="s">
        <v>22</v>
      </c>
      <c r="B118" s="6">
        <v>46307</v>
      </c>
      <c r="C118" s="7">
        <v>7</v>
      </c>
      <c r="D118" s="8">
        <v>1971.43</v>
      </c>
      <c r="E118" s="8">
        <f t="shared" si="17"/>
        <v>13800.01</v>
      </c>
      <c r="F118" s="9"/>
      <c r="G118" s="8">
        <f t="shared" si="18"/>
        <v>2957.145</v>
      </c>
      <c r="H118" s="8">
        <f t="shared" si="19"/>
        <v>0</v>
      </c>
      <c r="I118" s="9"/>
      <c r="J118" s="8"/>
      <c r="K118" s="8">
        <f t="shared" si="20"/>
        <v>0</v>
      </c>
      <c r="L118" s="8">
        <f t="shared" si="21"/>
        <v>13800.01</v>
      </c>
      <c r="O118" s="85" t="s">
        <v>32</v>
      </c>
      <c r="P118" s="86"/>
      <c r="Q118" s="21"/>
    </row>
    <row r="119" spans="1:17" x14ac:dyDescent="0.25">
      <c r="A119" s="5" t="s">
        <v>24</v>
      </c>
      <c r="B119" s="6">
        <v>46308</v>
      </c>
      <c r="C119" s="7">
        <v>7</v>
      </c>
      <c r="D119" s="8">
        <v>1971.43</v>
      </c>
      <c r="E119" s="8">
        <f t="shared" si="17"/>
        <v>13800.01</v>
      </c>
      <c r="F119" s="9"/>
      <c r="G119" s="8">
        <f t="shared" si="18"/>
        <v>2957.145</v>
      </c>
      <c r="H119" s="8">
        <f t="shared" si="19"/>
        <v>0</v>
      </c>
      <c r="I119" s="9"/>
      <c r="J119" s="8"/>
      <c r="K119" s="8">
        <f t="shared" si="20"/>
        <v>0</v>
      </c>
      <c r="L119" s="8">
        <f t="shared" si="21"/>
        <v>13800.01</v>
      </c>
      <c r="O119" s="85" t="s">
        <v>33</v>
      </c>
      <c r="P119" s="86"/>
      <c r="Q119" s="21">
        <v>27600</v>
      </c>
    </row>
    <row r="120" spans="1:17" x14ac:dyDescent="0.25">
      <c r="A120" s="5" t="s">
        <v>25</v>
      </c>
      <c r="B120" s="6">
        <v>46309</v>
      </c>
      <c r="C120" s="7">
        <v>7</v>
      </c>
      <c r="D120" s="8">
        <v>1971.43</v>
      </c>
      <c r="E120" s="8">
        <f t="shared" si="17"/>
        <v>13800.01</v>
      </c>
      <c r="F120" s="9"/>
      <c r="G120" s="8">
        <f t="shared" si="18"/>
        <v>2957.145</v>
      </c>
      <c r="H120" s="8">
        <f t="shared" si="19"/>
        <v>0</v>
      </c>
      <c r="I120" s="9"/>
      <c r="J120" s="8"/>
      <c r="K120" s="8">
        <f t="shared" si="20"/>
        <v>0</v>
      </c>
      <c r="L120" s="8">
        <f t="shared" si="21"/>
        <v>13800.01</v>
      </c>
      <c r="O120" s="85" t="s">
        <v>34</v>
      </c>
      <c r="P120" s="86"/>
      <c r="Q120" s="21">
        <f>SUM(Q116:Q119)</f>
        <v>108687.78360950001</v>
      </c>
    </row>
    <row r="121" spans="1:17" x14ac:dyDescent="0.25">
      <c r="A121" s="5" t="s">
        <v>12</v>
      </c>
      <c r="B121" s="6">
        <v>46310</v>
      </c>
      <c r="C121" s="7">
        <v>7</v>
      </c>
      <c r="D121" s="8">
        <v>1971.43</v>
      </c>
      <c r="E121" s="8">
        <f t="shared" si="17"/>
        <v>13800.01</v>
      </c>
      <c r="F121" s="9"/>
      <c r="G121" s="8">
        <f t="shared" si="18"/>
        <v>2957.145</v>
      </c>
      <c r="H121" s="8">
        <f t="shared" si="19"/>
        <v>0</v>
      </c>
      <c r="I121" s="9"/>
      <c r="J121" s="8"/>
      <c r="K121" s="8">
        <f t="shared" si="20"/>
        <v>0</v>
      </c>
      <c r="L121" s="8">
        <f t="shared" si="21"/>
        <v>13800.01</v>
      </c>
      <c r="O121" s="95"/>
      <c r="P121" s="96"/>
      <c r="Q121" s="14"/>
    </row>
    <row r="122" spans="1:17" ht="16.5" x14ac:dyDescent="0.35">
      <c r="A122" s="5"/>
      <c r="B122" s="6"/>
      <c r="C122" s="7"/>
      <c r="D122" s="8"/>
      <c r="E122" s="8"/>
      <c r="F122" s="9"/>
      <c r="G122" s="8"/>
      <c r="H122" s="8"/>
      <c r="I122" s="9"/>
      <c r="J122" s="8"/>
      <c r="K122" s="8"/>
      <c r="L122" s="8"/>
      <c r="O122" s="85" t="s">
        <v>35</v>
      </c>
      <c r="P122" s="86"/>
      <c r="Q122" s="22">
        <f>Q114-Q120</f>
        <v>147190.18139049999</v>
      </c>
    </row>
    <row r="123" spans="1:17" ht="16.5" x14ac:dyDescent="0.35">
      <c r="B123" s="35"/>
      <c r="C123" s="23"/>
      <c r="D123" s="8"/>
      <c r="E123" s="24"/>
      <c r="F123" s="37"/>
      <c r="G123" s="8"/>
      <c r="H123" s="8"/>
      <c r="I123" s="37"/>
      <c r="J123" s="8"/>
      <c r="K123" s="8"/>
      <c r="L123" s="8"/>
    </row>
    <row r="124" spans="1:17" ht="16.5" x14ac:dyDescent="0.35">
      <c r="B124" s="97"/>
      <c r="C124" s="98"/>
      <c r="D124" s="99"/>
      <c r="E124" s="27"/>
      <c r="F124" s="37"/>
      <c r="G124" s="8"/>
      <c r="H124" s="8"/>
      <c r="I124" s="37"/>
      <c r="J124" s="8"/>
      <c r="K124" s="8"/>
      <c r="L124" s="8"/>
      <c r="O124" s="100" t="s">
        <v>36</v>
      </c>
      <c r="P124" s="100"/>
      <c r="Q124" s="100"/>
    </row>
    <row r="125" spans="1:17" ht="16.5" x14ac:dyDescent="0.35">
      <c r="B125" s="102"/>
      <c r="C125" s="103"/>
      <c r="D125" s="104"/>
      <c r="E125" s="28"/>
      <c r="F125" s="25"/>
      <c r="G125" s="25"/>
      <c r="H125" s="24">
        <f>SUM(H107:H123)</f>
        <v>32200</v>
      </c>
      <c r="I125" s="25"/>
      <c r="J125" s="25"/>
      <c r="K125" s="24">
        <f>SUM(K107:K123)</f>
        <v>13800</v>
      </c>
      <c r="L125" s="28">
        <f>SUM(H125:K125)</f>
        <v>46000</v>
      </c>
      <c r="O125" s="101" t="s">
        <v>37</v>
      </c>
      <c r="P125" s="101"/>
      <c r="Q125" s="101"/>
    </row>
    <row r="126" spans="1:17" ht="16.5" x14ac:dyDescent="0.35">
      <c r="J126" s="30"/>
      <c r="K126" s="30"/>
      <c r="L126" s="31"/>
    </row>
    <row r="127" spans="1:17" x14ac:dyDescent="0.25">
      <c r="J127" s="30"/>
      <c r="K127" s="30"/>
      <c r="L127" s="32"/>
    </row>
    <row r="128" spans="1:17" x14ac:dyDescent="0.25">
      <c r="J128" s="30"/>
      <c r="K128" s="30"/>
      <c r="L128" s="32"/>
    </row>
    <row r="129" spans="1:17" x14ac:dyDescent="0.25">
      <c r="E129" t="s">
        <v>48</v>
      </c>
      <c r="J129" s="30"/>
      <c r="K129" s="30"/>
      <c r="L129" s="32"/>
    </row>
    <row r="130" spans="1:17" x14ac:dyDescent="0.25">
      <c r="J130" s="30"/>
      <c r="K130" s="30"/>
      <c r="L130" s="32"/>
    </row>
    <row r="131" spans="1:17" x14ac:dyDescent="0.25">
      <c r="J131" s="30"/>
      <c r="K131" s="30"/>
      <c r="L131" s="32"/>
    </row>
    <row r="132" spans="1:17" x14ac:dyDescent="0.25">
      <c r="B132" s="87" t="s">
        <v>0</v>
      </c>
      <c r="C132" s="87"/>
      <c r="D132" s="87"/>
      <c r="E132" s="87"/>
      <c r="F132" s="87"/>
      <c r="G132" s="87"/>
      <c r="H132" s="87"/>
      <c r="I132" s="87"/>
      <c r="J132" s="87"/>
      <c r="K132" s="87"/>
      <c r="L132" s="87"/>
    </row>
    <row r="133" spans="1:17" x14ac:dyDescent="0.25">
      <c r="B133" s="87" t="s">
        <v>1</v>
      </c>
      <c r="C133" s="87"/>
      <c r="D133" s="87"/>
      <c r="E133" s="87"/>
      <c r="F133" s="87"/>
      <c r="G133" s="87"/>
      <c r="H133" s="87"/>
      <c r="I133" s="87"/>
      <c r="J133" s="87"/>
      <c r="K133" s="87"/>
      <c r="L133" s="87"/>
    </row>
    <row r="134" spans="1:17" x14ac:dyDescent="0.25">
      <c r="J134" s="30"/>
      <c r="K134" s="30"/>
      <c r="L134" s="32"/>
    </row>
    <row r="135" spans="1:17" x14ac:dyDescent="0.25">
      <c r="B135" s="94" t="s">
        <v>53</v>
      </c>
      <c r="C135" s="94"/>
      <c r="D135" s="94"/>
      <c r="E135" s="94"/>
      <c r="F135" s="94"/>
      <c r="G135" s="94"/>
      <c r="H135" s="94"/>
      <c r="I135" s="94"/>
      <c r="J135" s="94"/>
      <c r="K135" s="94"/>
      <c r="L135" s="94"/>
    </row>
    <row r="137" spans="1:17" ht="23.25" x14ac:dyDescent="0.25">
      <c r="B137" s="25" t="s">
        <v>3</v>
      </c>
      <c r="C137" s="4" t="s">
        <v>4</v>
      </c>
      <c r="D137" s="4" t="s">
        <v>5</v>
      </c>
      <c r="E137" s="4" t="s">
        <v>6</v>
      </c>
      <c r="F137" s="4" t="s">
        <v>7</v>
      </c>
      <c r="G137" s="4" t="s">
        <v>8</v>
      </c>
      <c r="H137" s="4" t="s">
        <v>6</v>
      </c>
      <c r="I137" s="4" t="s">
        <v>9</v>
      </c>
      <c r="J137" s="4" t="s">
        <v>10</v>
      </c>
      <c r="K137" s="4" t="s">
        <v>6</v>
      </c>
      <c r="L137" s="4" t="s">
        <v>11</v>
      </c>
      <c r="O137" s="89" t="s">
        <v>0</v>
      </c>
      <c r="P137" s="90"/>
      <c r="Q137" s="91"/>
    </row>
    <row r="138" spans="1:17" x14ac:dyDescent="0.25">
      <c r="A138" s="5" t="s">
        <v>12</v>
      </c>
      <c r="B138" s="6">
        <v>46296</v>
      </c>
      <c r="C138" s="7">
        <v>8</v>
      </c>
      <c r="D138" s="8">
        <v>1725</v>
      </c>
      <c r="E138" s="8">
        <f>+C138*D138</f>
        <v>13800</v>
      </c>
      <c r="F138" s="9">
        <v>3</v>
      </c>
      <c r="G138" s="8">
        <f>+D138*1.5</f>
        <v>2587.5</v>
      </c>
      <c r="H138" s="8">
        <f>+F138*G138</f>
        <v>7762.5</v>
      </c>
      <c r="I138" s="9"/>
      <c r="J138" s="8"/>
      <c r="K138" s="8">
        <f>+I138*J138</f>
        <v>0</v>
      </c>
      <c r="L138" s="8">
        <f>+E138+H138+K138</f>
        <v>21562.5</v>
      </c>
      <c r="O138" s="89" t="s">
        <v>13</v>
      </c>
      <c r="P138" s="90"/>
      <c r="Q138" s="91"/>
    </row>
    <row r="139" spans="1:17" x14ac:dyDescent="0.25">
      <c r="A139" s="5" t="s">
        <v>14</v>
      </c>
      <c r="B139" s="6">
        <v>46297</v>
      </c>
      <c r="C139" s="7">
        <v>8</v>
      </c>
      <c r="D139" s="8">
        <v>1725</v>
      </c>
      <c r="E139" s="8">
        <f>+C139*D139</f>
        <v>13800</v>
      </c>
      <c r="F139" s="9">
        <v>3</v>
      </c>
      <c r="G139" s="8">
        <f>+D139*1.5</f>
        <v>2587.5</v>
      </c>
      <c r="H139" s="8">
        <f>+F139*G139</f>
        <v>7762.5</v>
      </c>
      <c r="I139" s="9"/>
      <c r="J139" s="8"/>
      <c r="K139" s="8">
        <f>+I139*J139</f>
        <v>0</v>
      </c>
      <c r="L139" s="8">
        <f>+E139+H139+K139</f>
        <v>21562.5</v>
      </c>
      <c r="O139" s="10" t="s">
        <v>15</v>
      </c>
      <c r="P139" s="92" t="s">
        <v>54</v>
      </c>
      <c r="Q139" s="93"/>
    </row>
    <row r="140" spans="1:17" x14ac:dyDescent="0.25">
      <c r="A140" s="5" t="s">
        <v>17</v>
      </c>
      <c r="B140" s="6">
        <v>46298</v>
      </c>
      <c r="C140" s="7">
        <v>8</v>
      </c>
      <c r="D140" s="8">
        <v>1725</v>
      </c>
      <c r="E140" s="8">
        <f t="shared" ref="E140:E152" si="22">+C140*D140</f>
        <v>13800</v>
      </c>
      <c r="F140" s="9">
        <v>3</v>
      </c>
      <c r="G140" s="8">
        <f t="shared" ref="G140:G152" si="23">+D140*1.5</f>
        <v>2587.5</v>
      </c>
      <c r="H140" s="8">
        <f>+F140*G140</f>
        <v>7762.5</v>
      </c>
      <c r="I140" s="9"/>
      <c r="J140" s="8"/>
      <c r="K140" s="8">
        <f>+I140*J140</f>
        <v>0</v>
      </c>
      <c r="L140" s="8">
        <f>+E140+H140+K140</f>
        <v>21562.5</v>
      </c>
      <c r="O140" s="10" t="str">
        <f>+O12</f>
        <v>FECHA:         15/10/2026</v>
      </c>
      <c r="P140" s="11" t="s">
        <v>19</v>
      </c>
      <c r="Q140" s="12">
        <f>+Q12</f>
        <v>419755.93</v>
      </c>
    </row>
    <row r="141" spans="1:17" x14ac:dyDescent="0.25">
      <c r="A141" s="5" t="s">
        <v>20</v>
      </c>
      <c r="B141" s="6">
        <v>46299</v>
      </c>
      <c r="C141" s="7">
        <v>8</v>
      </c>
      <c r="D141" s="8">
        <v>1725</v>
      </c>
      <c r="E141" s="38">
        <f t="shared" si="22"/>
        <v>13800</v>
      </c>
      <c r="F141" s="9"/>
      <c r="G141" s="38">
        <f t="shared" si="23"/>
        <v>2587.5</v>
      </c>
      <c r="H141" s="38">
        <f t="shared" ref="H141:H152" si="24">+F141*G141</f>
        <v>0</v>
      </c>
      <c r="I141" s="9"/>
      <c r="J141" s="8"/>
      <c r="K141" s="38">
        <f t="shared" ref="K141:K152" si="25">+I141*J141</f>
        <v>0</v>
      </c>
      <c r="L141" s="38">
        <f t="shared" ref="L141:L152" si="26">+E141+H141+K141</f>
        <v>13800</v>
      </c>
      <c r="O141" s="10" t="s">
        <v>21</v>
      </c>
      <c r="P141" s="13">
        <f>+Q140/2</f>
        <v>209877.965</v>
      </c>
      <c r="Q141" s="14"/>
    </row>
    <row r="142" spans="1:17" x14ac:dyDescent="0.25">
      <c r="A142" s="5" t="s">
        <v>22</v>
      </c>
      <c r="B142" s="6">
        <v>46300</v>
      </c>
      <c r="C142" s="7">
        <v>8</v>
      </c>
      <c r="D142" s="8">
        <v>1725</v>
      </c>
      <c r="E142" s="8">
        <f t="shared" si="22"/>
        <v>13800</v>
      </c>
      <c r="F142" s="9">
        <v>3</v>
      </c>
      <c r="G142" s="8">
        <f t="shared" si="23"/>
        <v>2587.5</v>
      </c>
      <c r="H142" s="8">
        <f t="shared" si="24"/>
        <v>7762.5</v>
      </c>
      <c r="I142" s="9"/>
      <c r="J142" s="8"/>
      <c r="K142" s="8">
        <f t="shared" si="25"/>
        <v>0</v>
      </c>
      <c r="L142" s="8">
        <f t="shared" si="26"/>
        <v>21562.5</v>
      </c>
      <c r="O142" s="10" t="s">
        <v>23</v>
      </c>
      <c r="P142" s="13">
        <f>+H157</f>
        <v>100912.5</v>
      </c>
      <c r="Q142" s="14"/>
    </row>
    <row r="143" spans="1:17" x14ac:dyDescent="0.25">
      <c r="A143" s="5" t="s">
        <v>24</v>
      </c>
      <c r="B143" s="6">
        <v>46301</v>
      </c>
      <c r="C143" s="7">
        <v>8</v>
      </c>
      <c r="D143" s="8">
        <v>1725</v>
      </c>
      <c r="E143" s="8">
        <f t="shared" si="22"/>
        <v>13800</v>
      </c>
      <c r="F143" s="9">
        <v>3</v>
      </c>
      <c r="G143" s="8">
        <f t="shared" si="23"/>
        <v>2587.5</v>
      </c>
      <c r="H143" s="8">
        <f t="shared" si="24"/>
        <v>7762.5</v>
      </c>
      <c r="I143" s="9"/>
      <c r="J143" s="8"/>
      <c r="K143" s="8">
        <f t="shared" si="25"/>
        <v>0</v>
      </c>
      <c r="L143" s="8">
        <f t="shared" si="26"/>
        <v>21562.5</v>
      </c>
      <c r="O143" s="10" t="s">
        <v>9</v>
      </c>
      <c r="P143" s="13">
        <f>+K157</f>
        <v>0</v>
      </c>
      <c r="Q143" s="14"/>
    </row>
    <row r="144" spans="1:17" x14ac:dyDescent="0.25">
      <c r="A144" s="5" t="s">
        <v>25</v>
      </c>
      <c r="B144" s="6">
        <v>46302</v>
      </c>
      <c r="C144" s="7">
        <v>8</v>
      </c>
      <c r="D144" s="8">
        <v>1725</v>
      </c>
      <c r="E144" s="8">
        <f t="shared" si="22"/>
        <v>13800</v>
      </c>
      <c r="F144" s="9">
        <v>3</v>
      </c>
      <c r="G144" s="8">
        <f t="shared" si="23"/>
        <v>2587.5</v>
      </c>
      <c r="H144" s="8">
        <f t="shared" si="24"/>
        <v>7762.5</v>
      </c>
      <c r="I144" s="9"/>
      <c r="J144" s="8"/>
      <c r="K144" s="8">
        <f t="shared" si="25"/>
        <v>0</v>
      </c>
      <c r="L144" s="8">
        <f t="shared" si="26"/>
        <v>21562.5</v>
      </c>
      <c r="O144" s="10" t="s">
        <v>26</v>
      </c>
      <c r="P144" s="13"/>
      <c r="Q144" s="14"/>
    </row>
    <row r="145" spans="1:17" x14ac:dyDescent="0.25">
      <c r="A145" s="5" t="s">
        <v>12</v>
      </c>
      <c r="B145" s="6">
        <v>46303</v>
      </c>
      <c r="C145" s="7">
        <v>8</v>
      </c>
      <c r="D145" s="8">
        <v>1725</v>
      </c>
      <c r="E145" s="8">
        <f t="shared" si="22"/>
        <v>13800</v>
      </c>
      <c r="F145" s="9">
        <v>3</v>
      </c>
      <c r="G145" s="8">
        <f t="shared" si="23"/>
        <v>2587.5</v>
      </c>
      <c r="H145" s="8">
        <f t="shared" si="24"/>
        <v>7762.5</v>
      </c>
      <c r="I145" s="9"/>
      <c r="J145" s="8"/>
      <c r="K145" s="8">
        <f t="shared" si="25"/>
        <v>0</v>
      </c>
      <c r="L145" s="8">
        <f t="shared" si="26"/>
        <v>21562.5</v>
      </c>
      <c r="O145" s="17" t="s">
        <v>28</v>
      </c>
      <c r="P145" s="18">
        <f>SUM(P141:P144)</f>
        <v>310790.46499999997</v>
      </c>
      <c r="Q145" s="19">
        <f>+P145</f>
        <v>310790.46499999997</v>
      </c>
    </row>
    <row r="146" spans="1:17" x14ac:dyDescent="0.25">
      <c r="A146" s="5" t="s">
        <v>14</v>
      </c>
      <c r="B146" s="6">
        <v>46304</v>
      </c>
      <c r="C146" s="7">
        <v>8</v>
      </c>
      <c r="D146" s="8">
        <v>1725</v>
      </c>
      <c r="E146" s="8">
        <f t="shared" si="22"/>
        <v>13800</v>
      </c>
      <c r="F146" s="9">
        <v>3</v>
      </c>
      <c r="G146" s="8">
        <f t="shared" si="23"/>
        <v>2587.5</v>
      </c>
      <c r="H146" s="8">
        <f t="shared" si="24"/>
        <v>7762.5</v>
      </c>
      <c r="I146" s="9"/>
      <c r="J146" s="8"/>
      <c r="K146" s="8">
        <f t="shared" si="25"/>
        <v>0</v>
      </c>
      <c r="L146" s="8">
        <f t="shared" si="26"/>
        <v>21562.5</v>
      </c>
      <c r="O146" s="83" t="s">
        <v>29</v>
      </c>
      <c r="P146" s="84"/>
      <c r="Q146" s="20"/>
    </row>
    <row r="147" spans="1:17" x14ac:dyDescent="0.25">
      <c r="A147" s="5" t="s">
        <v>17</v>
      </c>
      <c r="B147" s="6">
        <v>46305</v>
      </c>
      <c r="C147" s="7">
        <v>8</v>
      </c>
      <c r="D147" s="8">
        <v>1725</v>
      </c>
      <c r="E147" s="8">
        <f t="shared" si="22"/>
        <v>13800</v>
      </c>
      <c r="F147" s="9">
        <v>3</v>
      </c>
      <c r="G147" s="8">
        <f t="shared" si="23"/>
        <v>2587.5</v>
      </c>
      <c r="H147" s="8">
        <f t="shared" si="24"/>
        <v>7762.5</v>
      </c>
      <c r="I147" s="9"/>
      <c r="J147" s="8"/>
      <c r="K147" s="8">
        <f t="shared" si="25"/>
        <v>0</v>
      </c>
      <c r="L147" s="8">
        <f t="shared" si="26"/>
        <v>21562.5</v>
      </c>
      <c r="O147" s="85" t="str">
        <f>+O19</f>
        <v>CCSS 10.83%</v>
      </c>
      <c r="P147" s="86"/>
      <c r="Q147" s="21">
        <f>+Q19</f>
        <v>22729.783609500002</v>
      </c>
    </row>
    <row r="148" spans="1:17" x14ac:dyDescent="0.25">
      <c r="A148" s="5" t="s">
        <v>20</v>
      </c>
      <c r="B148" s="6">
        <v>46306</v>
      </c>
      <c r="C148" s="7">
        <v>8</v>
      </c>
      <c r="D148" s="8">
        <v>1725</v>
      </c>
      <c r="E148" s="8">
        <f t="shared" si="22"/>
        <v>13800</v>
      </c>
      <c r="F148" s="9"/>
      <c r="G148" s="8">
        <f t="shared" si="23"/>
        <v>2587.5</v>
      </c>
      <c r="H148" s="8">
        <f t="shared" si="24"/>
        <v>0</v>
      </c>
      <c r="I148" s="9"/>
      <c r="J148" s="8"/>
      <c r="K148" s="8">
        <f t="shared" si="25"/>
        <v>0</v>
      </c>
      <c r="L148" s="8">
        <f t="shared" si="26"/>
        <v>13800</v>
      </c>
      <c r="O148" s="85" t="s">
        <v>31</v>
      </c>
      <c r="P148" s="86"/>
      <c r="Q148" s="21"/>
    </row>
    <row r="149" spans="1:17" x14ac:dyDescent="0.25">
      <c r="A149" s="5" t="s">
        <v>22</v>
      </c>
      <c r="B149" s="6">
        <v>46307</v>
      </c>
      <c r="C149" s="7">
        <v>8</v>
      </c>
      <c r="D149" s="8">
        <v>1725</v>
      </c>
      <c r="E149" s="8">
        <f t="shared" si="22"/>
        <v>13800</v>
      </c>
      <c r="F149" s="9">
        <v>3</v>
      </c>
      <c r="G149" s="8">
        <f t="shared" si="23"/>
        <v>2587.5</v>
      </c>
      <c r="H149" s="8">
        <f t="shared" si="24"/>
        <v>7762.5</v>
      </c>
      <c r="I149" s="9"/>
      <c r="J149" s="8"/>
      <c r="K149" s="8">
        <f t="shared" si="25"/>
        <v>0</v>
      </c>
      <c r="L149" s="8">
        <f t="shared" si="26"/>
        <v>21562.5</v>
      </c>
      <c r="O149" s="85" t="s">
        <v>32</v>
      </c>
      <c r="P149" s="86"/>
      <c r="Q149" s="21"/>
    </row>
    <row r="150" spans="1:17" x14ac:dyDescent="0.25">
      <c r="A150" s="5" t="s">
        <v>24</v>
      </c>
      <c r="B150" s="6">
        <v>46308</v>
      </c>
      <c r="C150" s="7">
        <v>8</v>
      </c>
      <c r="D150" s="8">
        <v>1725</v>
      </c>
      <c r="E150" s="8">
        <f t="shared" si="22"/>
        <v>13800</v>
      </c>
      <c r="F150" s="9">
        <v>3</v>
      </c>
      <c r="G150" s="8">
        <f t="shared" si="23"/>
        <v>2587.5</v>
      </c>
      <c r="H150" s="8">
        <f t="shared" si="24"/>
        <v>7762.5</v>
      </c>
      <c r="I150" s="9"/>
      <c r="J150" s="8"/>
      <c r="K150" s="8">
        <f t="shared" si="25"/>
        <v>0</v>
      </c>
      <c r="L150" s="8">
        <f t="shared" si="26"/>
        <v>21562.5</v>
      </c>
      <c r="O150" s="85" t="s">
        <v>33</v>
      </c>
      <c r="P150" s="86"/>
      <c r="Q150" s="21"/>
    </row>
    <row r="151" spans="1:17" x14ac:dyDescent="0.25">
      <c r="A151" s="5" t="s">
        <v>25</v>
      </c>
      <c r="B151" s="6">
        <v>46309</v>
      </c>
      <c r="C151" s="7">
        <v>8</v>
      </c>
      <c r="D151" s="8">
        <v>1725</v>
      </c>
      <c r="E151" s="8">
        <f t="shared" si="22"/>
        <v>13800</v>
      </c>
      <c r="F151" s="9">
        <v>3</v>
      </c>
      <c r="G151" s="8">
        <f t="shared" si="23"/>
        <v>2587.5</v>
      </c>
      <c r="H151" s="8">
        <f t="shared" si="24"/>
        <v>7762.5</v>
      </c>
      <c r="I151" s="9"/>
      <c r="J151" s="8"/>
      <c r="K151" s="8">
        <f t="shared" si="25"/>
        <v>0</v>
      </c>
      <c r="L151" s="8">
        <f t="shared" si="26"/>
        <v>21562.5</v>
      </c>
      <c r="O151" s="85" t="s">
        <v>34</v>
      </c>
      <c r="P151" s="86"/>
      <c r="Q151" s="21">
        <f>SUM(Q147:Q150)</f>
        <v>22729.783609500002</v>
      </c>
    </row>
    <row r="152" spans="1:17" x14ac:dyDescent="0.25">
      <c r="A152" s="5" t="s">
        <v>12</v>
      </c>
      <c r="B152" s="6">
        <v>46310</v>
      </c>
      <c r="C152" s="7">
        <v>8</v>
      </c>
      <c r="D152" s="8">
        <v>1725</v>
      </c>
      <c r="E152" s="8">
        <f t="shared" si="22"/>
        <v>13800</v>
      </c>
      <c r="F152" s="9">
        <v>3</v>
      </c>
      <c r="G152" s="8">
        <f t="shared" si="23"/>
        <v>2587.5</v>
      </c>
      <c r="H152" s="8">
        <f t="shared" si="24"/>
        <v>7762.5</v>
      </c>
      <c r="I152" s="9"/>
      <c r="J152" s="8"/>
      <c r="K152" s="8">
        <f t="shared" si="25"/>
        <v>0</v>
      </c>
      <c r="L152" s="8">
        <f t="shared" si="26"/>
        <v>21562.5</v>
      </c>
      <c r="O152" s="95"/>
      <c r="P152" s="96"/>
      <c r="Q152" s="14"/>
    </row>
    <row r="153" spans="1:17" ht="16.5" x14ac:dyDescent="0.35">
      <c r="A153" s="5"/>
      <c r="B153" s="6"/>
      <c r="C153" s="7"/>
      <c r="D153" s="8"/>
      <c r="E153" s="8"/>
      <c r="F153" s="9"/>
      <c r="G153" s="8"/>
      <c r="H153" s="8"/>
      <c r="I153" s="9"/>
      <c r="J153" s="8"/>
      <c r="K153" s="8"/>
      <c r="L153" s="8"/>
      <c r="O153" s="85" t="s">
        <v>35</v>
      </c>
      <c r="P153" s="86"/>
      <c r="Q153" s="22">
        <f>Q145-Q151</f>
        <v>288060.68139049999</v>
      </c>
    </row>
    <row r="154" spans="1:17" x14ac:dyDescent="0.25">
      <c r="B154" s="35"/>
      <c r="C154" s="7"/>
      <c r="D154" s="8"/>
      <c r="E154" s="8"/>
      <c r="F154" s="9"/>
      <c r="G154" s="8"/>
      <c r="H154" s="8"/>
      <c r="I154" s="9"/>
      <c r="J154" s="8"/>
      <c r="K154" s="8"/>
      <c r="L154" s="8"/>
    </row>
    <row r="155" spans="1:17" ht="16.5" x14ac:dyDescent="0.35">
      <c r="B155" s="37"/>
      <c r="C155" s="37"/>
      <c r="D155" s="37"/>
      <c r="E155" s="27"/>
      <c r="F155" s="25"/>
      <c r="G155" s="25"/>
      <c r="H155" s="8"/>
      <c r="I155" s="25"/>
      <c r="J155" s="25"/>
      <c r="K155" s="25"/>
      <c r="L155" s="26"/>
      <c r="O155" s="100" t="s">
        <v>36</v>
      </c>
      <c r="P155" s="100"/>
      <c r="Q155" s="100"/>
    </row>
    <row r="156" spans="1:17" ht="16.5" x14ac:dyDescent="0.35">
      <c r="B156" s="97"/>
      <c r="C156" s="98"/>
      <c r="D156" s="99"/>
      <c r="E156" s="27"/>
      <c r="F156" s="25"/>
      <c r="G156" s="25"/>
      <c r="H156" s="8"/>
      <c r="I156" s="25"/>
      <c r="J156" s="25"/>
      <c r="K156" s="25"/>
      <c r="L156" s="26"/>
      <c r="O156" s="101" t="s">
        <v>37</v>
      </c>
      <c r="P156" s="101"/>
      <c r="Q156" s="101"/>
    </row>
    <row r="157" spans="1:17" ht="16.5" x14ac:dyDescent="0.35">
      <c r="B157" s="105"/>
      <c r="C157" s="106"/>
      <c r="D157" s="107"/>
      <c r="E157" s="39"/>
      <c r="F157" s="25"/>
      <c r="G157" s="25"/>
      <c r="H157" s="24">
        <f>SUM(H138:H155)</f>
        <v>100912.5</v>
      </c>
      <c r="I157" s="25"/>
      <c r="J157" s="25"/>
      <c r="K157" s="24">
        <f>SUM(K138:K155)</f>
        <v>0</v>
      </c>
      <c r="L157" s="28">
        <f>SUM(H157:K157)</f>
        <v>100912.5</v>
      </c>
    </row>
    <row r="158" spans="1:17" ht="16.5" x14ac:dyDescent="0.35">
      <c r="B158" s="1"/>
      <c r="C158" s="1"/>
      <c r="D158" s="1"/>
      <c r="E158" s="40"/>
      <c r="F158" s="1"/>
      <c r="G158" s="1"/>
      <c r="H158" s="41"/>
      <c r="I158" s="1"/>
      <c r="J158" s="30"/>
      <c r="K158" s="30"/>
      <c r="L158" s="31"/>
    </row>
    <row r="159" spans="1:17" x14ac:dyDescent="0.25">
      <c r="B159" s="1"/>
      <c r="C159" s="1"/>
      <c r="D159" s="1"/>
      <c r="E159" s="40"/>
      <c r="F159" s="1"/>
      <c r="G159" s="1"/>
      <c r="H159" s="41"/>
      <c r="I159" s="1"/>
      <c r="J159" s="30"/>
      <c r="K159" s="30"/>
      <c r="L159" s="32"/>
    </row>
    <row r="160" spans="1:17" x14ac:dyDescent="0.25">
      <c r="B160" s="1"/>
      <c r="C160" s="1"/>
      <c r="D160" s="1"/>
      <c r="E160" s="40"/>
      <c r="F160" s="1"/>
      <c r="G160" s="1"/>
      <c r="H160" s="41"/>
      <c r="I160" s="1"/>
      <c r="J160" s="30"/>
      <c r="K160" s="30"/>
      <c r="L160" s="32"/>
    </row>
    <row r="161" spans="1:17" x14ac:dyDescent="0.25">
      <c r="B161" s="1"/>
      <c r="C161" s="1"/>
      <c r="D161" s="1"/>
      <c r="E161" s="42" t="s">
        <v>55</v>
      </c>
      <c r="F161" s="43"/>
      <c r="G161" s="43"/>
      <c r="H161" s="42"/>
      <c r="I161" s="1"/>
      <c r="J161" s="30"/>
      <c r="K161" s="30"/>
      <c r="L161" s="32"/>
    </row>
    <row r="162" spans="1:17" x14ac:dyDescent="0.25">
      <c r="B162" s="1"/>
      <c r="C162" s="1"/>
      <c r="D162" s="1"/>
      <c r="E162" s="42"/>
      <c r="F162" s="43"/>
      <c r="G162" s="43"/>
      <c r="H162" s="42"/>
      <c r="I162" s="1"/>
      <c r="J162" s="30"/>
      <c r="K162" s="30"/>
      <c r="L162" s="32"/>
    </row>
    <row r="163" spans="1:17" x14ac:dyDescent="0.25">
      <c r="B163" s="1"/>
      <c r="C163" s="1"/>
      <c r="D163" s="1"/>
      <c r="E163" s="42"/>
      <c r="F163" s="43"/>
      <c r="G163" s="43"/>
      <c r="H163" s="42"/>
      <c r="I163" s="1"/>
      <c r="J163" s="30"/>
      <c r="K163" s="30"/>
      <c r="L163" s="32"/>
    </row>
    <row r="164" spans="1:17" x14ac:dyDescent="0.25">
      <c r="B164" s="1"/>
      <c r="C164" s="1"/>
      <c r="D164" s="1"/>
      <c r="E164" s="42"/>
      <c r="F164" s="43"/>
      <c r="G164" s="43"/>
      <c r="H164" s="42"/>
      <c r="I164" s="1"/>
      <c r="J164" s="30"/>
      <c r="K164" s="30"/>
      <c r="L164" s="32"/>
    </row>
    <row r="165" spans="1:17" x14ac:dyDescent="0.25">
      <c r="B165" s="1"/>
      <c r="C165" s="1"/>
      <c r="D165" s="1"/>
      <c r="E165" s="42"/>
      <c r="F165" s="43"/>
      <c r="G165" s="43"/>
      <c r="H165" s="42"/>
      <c r="I165" s="1"/>
      <c r="J165" s="30"/>
      <c r="K165" s="30"/>
      <c r="L165" s="32"/>
    </row>
    <row r="166" spans="1:17" x14ac:dyDescent="0.25">
      <c r="B166" s="87" t="s">
        <v>0</v>
      </c>
      <c r="C166" s="87"/>
      <c r="D166" s="87"/>
      <c r="E166" s="87"/>
      <c r="F166" s="87"/>
      <c r="G166" s="87"/>
      <c r="H166" s="87"/>
      <c r="I166" s="87"/>
      <c r="J166" s="87"/>
      <c r="K166" s="87"/>
      <c r="L166" s="87"/>
    </row>
    <row r="167" spans="1:17" x14ac:dyDescent="0.25">
      <c r="B167" s="87" t="s">
        <v>1</v>
      </c>
      <c r="C167" s="87"/>
      <c r="D167" s="87"/>
      <c r="E167" s="87"/>
      <c r="F167" s="87"/>
      <c r="G167" s="87"/>
      <c r="H167" s="87"/>
      <c r="I167" s="87"/>
      <c r="J167" s="87"/>
      <c r="K167" s="87"/>
      <c r="L167" s="87"/>
    </row>
    <row r="168" spans="1:17" x14ac:dyDescent="0.25">
      <c r="B168" s="1"/>
      <c r="C168" s="1"/>
      <c r="D168" s="1"/>
      <c r="E168" s="40"/>
      <c r="F168" s="1"/>
      <c r="G168" s="1"/>
      <c r="H168" s="41"/>
      <c r="I168" s="1"/>
      <c r="J168" s="30"/>
      <c r="K168" s="30"/>
      <c r="L168" s="32"/>
    </row>
    <row r="169" spans="1:17" x14ac:dyDescent="0.25">
      <c r="B169" s="94" t="s">
        <v>56</v>
      </c>
      <c r="C169" s="94"/>
      <c r="D169" s="94"/>
      <c r="E169" s="94"/>
      <c r="F169" s="94"/>
      <c r="G169" s="94"/>
      <c r="H169" s="94"/>
      <c r="I169" s="94"/>
      <c r="J169" s="94"/>
      <c r="K169" s="94"/>
      <c r="L169" s="94"/>
    </row>
    <row r="171" spans="1:17" ht="23.25" x14ac:dyDescent="0.25">
      <c r="B171" s="25" t="s">
        <v>3</v>
      </c>
      <c r="C171" s="4" t="s">
        <v>4</v>
      </c>
      <c r="D171" s="4" t="s">
        <v>5</v>
      </c>
      <c r="E171" s="4" t="s">
        <v>6</v>
      </c>
      <c r="F171" s="4" t="s">
        <v>7</v>
      </c>
      <c r="G171" s="4" t="s">
        <v>8</v>
      </c>
      <c r="H171" s="4" t="s">
        <v>6</v>
      </c>
      <c r="I171" s="4" t="s">
        <v>9</v>
      </c>
      <c r="J171" s="4" t="s">
        <v>10</v>
      </c>
      <c r="K171" s="4" t="s">
        <v>6</v>
      </c>
      <c r="L171" s="4" t="s">
        <v>11</v>
      </c>
      <c r="O171" s="89" t="s">
        <v>0</v>
      </c>
      <c r="P171" s="90"/>
      <c r="Q171" s="91"/>
    </row>
    <row r="172" spans="1:17" x14ac:dyDescent="0.25">
      <c r="A172" s="5" t="s">
        <v>12</v>
      </c>
      <c r="B172" s="6">
        <v>46296</v>
      </c>
      <c r="C172" s="7"/>
      <c r="D172" s="8">
        <v>1971.43</v>
      </c>
      <c r="E172" s="8">
        <f t="shared" ref="E172:E186" si="27">+C172*D172</f>
        <v>0</v>
      </c>
      <c r="F172" s="9"/>
      <c r="G172" s="8">
        <f t="shared" ref="G172:G186" si="28">+D172*1.5</f>
        <v>2957.145</v>
      </c>
      <c r="H172" s="8">
        <f>+F172*G172</f>
        <v>0</v>
      </c>
      <c r="I172" s="9"/>
      <c r="J172" s="8"/>
      <c r="K172" s="8">
        <f>+I172*J172</f>
        <v>0</v>
      </c>
      <c r="L172" s="8">
        <f>+E172+H172+K172</f>
        <v>0</v>
      </c>
      <c r="O172" s="89" t="s">
        <v>13</v>
      </c>
      <c r="P172" s="90"/>
      <c r="Q172" s="91"/>
    </row>
    <row r="173" spans="1:17" x14ac:dyDescent="0.25">
      <c r="A173" s="5" t="s">
        <v>14</v>
      </c>
      <c r="B173" s="6">
        <v>46297</v>
      </c>
      <c r="C173" s="7"/>
      <c r="D173" s="8">
        <v>1971.43</v>
      </c>
      <c r="E173" s="8">
        <f t="shared" si="27"/>
        <v>0</v>
      </c>
      <c r="F173" s="9"/>
      <c r="G173" s="8">
        <f t="shared" si="28"/>
        <v>2957.145</v>
      </c>
      <c r="H173" s="8">
        <f t="shared" ref="H173:H186" si="29">+F173*G173</f>
        <v>0</v>
      </c>
      <c r="I173" s="9"/>
      <c r="J173" s="8"/>
      <c r="K173" s="8">
        <f t="shared" ref="K173:K186" si="30">+I173*J173</f>
        <v>0</v>
      </c>
      <c r="L173" s="8">
        <f t="shared" ref="L173:L186" si="31">+E173+H173+K173</f>
        <v>0</v>
      </c>
      <c r="O173" s="10" t="s">
        <v>15</v>
      </c>
      <c r="P173" s="92"/>
      <c r="Q173" s="93"/>
    </row>
    <row r="174" spans="1:17" x14ac:dyDescent="0.25">
      <c r="A174" s="5" t="s">
        <v>17</v>
      </c>
      <c r="B174" s="6">
        <v>46298</v>
      </c>
      <c r="C174" s="7"/>
      <c r="D174" s="8">
        <v>1971.43</v>
      </c>
      <c r="E174" s="8">
        <f t="shared" si="27"/>
        <v>0</v>
      </c>
      <c r="F174" s="9"/>
      <c r="G174" s="8">
        <f t="shared" si="28"/>
        <v>2957.145</v>
      </c>
      <c r="H174" s="8">
        <f t="shared" si="29"/>
        <v>0</v>
      </c>
      <c r="I174" s="9"/>
      <c r="J174" s="8"/>
      <c r="K174" s="8">
        <f t="shared" si="30"/>
        <v>0</v>
      </c>
      <c r="L174" s="8">
        <f t="shared" si="31"/>
        <v>0</v>
      </c>
      <c r="O174" s="10" t="str">
        <f>+O12</f>
        <v>FECHA:         15/10/2026</v>
      </c>
      <c r="P174" s="11" t="s">
        <v>19</v>
      </c>
      <c r="Q174" s="12"/>
    </row>
    <row r="175" spans="1:17" x14ac:dyDescent="0.25">
      <c r="A175" s="5" t="s">
        <v>20</v>
      </c>
      <c r="B175" s="6">
        <v>46299</v>
      </c>
      <c r="C175" s="7"/>
      <c r="D175" s="8">
        <v>1971.43</v>
      </c>
      <c r="E175" s="8">
        <f t="shared" si="27"/>
        <v>0</v>
      </c>
      <c r="F175" s="9"/>
      <c r="G175" s="8">
        <f t="shared" si="28"/>
        <v>2957.145</v>
      </c>
      <c r="H175" s="8">
        <f t="shared" si="29"/>
        <v>0</v>
      </c>
      <c r="I175" s="9"/>
      <c r="J175" s="8"/>
      <c r="K175" s="8">
        <f t="shared" si="30"/>
        <v>0</v>
      </c>
      <c r="L175" s="8">
        <f t="shared" si="31"/>
        <v>0</v>
      </c>
      <c r="O175" s="10" t="s">
        <v>21</v>
      </c>
      <c r="P175" s="13">
        <f>+Q174/2</f>
        <v>0</v>
      </c>
      <c r="Q175" s="14"/>
    </row>
    <row r="176" spans="1:17" x14ac:dyDescent="0.25">
      <c r="A176" s="5" t="s">
        <v>22</v>
      </c>
      <c r="B176" s="6">
        <v>46300</v>
      </c>
      <c r="C176" s="7"/>
      <c r="D176" s="8">
        <v>1971.43</v>
      </c>
      <c r="E176" s="8">
        <f t="shared" si="27"/>
        <v>0</v>
      </c>
      <c r="F176" s="9"/>
      <c r="G176" s="8">
        <f t="shared" si="28"/>
        <v>2957.145</v>
      </c>
      <c r="H176" s="8">
        <f t="shared" si="29"/>
        <v>0</v>
      </c>
      <c r="I176" s="9"/>
      <c r="J176" s="8"/>
      <c r="K176" s="8">
        <f t="shared" si="30"/>
        <v>0</v>
      </c>
      <c r="L176" s="8">
        <f t="shared" si="31"/>
        <v>0</v>
      </c>
      <c r="O176" s="10" t="s">
        <v>23</v>
      </c>
      <c r="P176" s="13">
        <f>+H189</f>
        <v>0</v>
      </c>
      <c r="Q176" s="14"/>
    </row>
    <row r="177" spans="1:17" x14ac:dyDescent="0.25">
      <c r="A177" s="5" t="s">
        <v>24</v>
      </c>
      <c r="B177" s="6">
        <v>46301</v>
      </c>
      <c r="C177" s="7"/>
      <c r="D177" s="8">
        <v>1971.43</v>
      </c>
      <c r="E177" s="8">
        <f t="shared" si="27"/>
        <v>0</v>
      </c>
      <c r="F177" s="9"/>
      <c r="G177" s="8">
        <f t="shared" si="28"/>
        <v>2957.145</v>
      </c>
      <c r="H177" s="8">
        <f t="shared" si="29"/>
        <v>0</v>
      </c>
      <c r="I177" s="9"/>
      <c r="J177" s="8"/>
      <c r="K177" s="8">
        <f t="shared" si="30"/>
        <v>0</v>
      </c>
      <c r="L177" s="8">
        <f t="shared" si="31"/>
        <v>0</v>
      </c>
      <c r="O177" s="10" t="s">
        <v>9</v>
      </c>
      <c r="P177" s="13">
        <f>+K189</f>
        <v>0</v>
      </c>
      <c r="Q177" s="14"/>
    </row>
    <row r="178" spans="1:17" x14ac:dyDescent="0.25">
      <c r="A178" s="5" t="s">
        <v>25</v>
      </c>
      <c r="B178" s="6">
        <v>46302</v>
      </c>
      <c r="C178" s="7"/>
      <c r="D178" s="8">
        <v>1971.43</v>
      </c>
      <c r="E178" s="8">
        <f t="shared" si="27"/>
        <v>0</v>
      </c>
      <c r="F178" s="9"/>
      <c r="G178" s="8">
        <f t="shared" si="28"/>
        <v>2957.145</v>
      </c>
      <c r="H178" s="8">
        <f t="shared" si="29"/>
        <v>0</v>
      </c>
      <c r="I178" s="9"/>
      <c r="J178" s="8"/>
      <c r="K178" s="8">
        <f t="shared" si="30"/>
        <v>0</v>
      </c>
      <c r="L178" s="8">
        <f t="shared" si="31"/>
        <v>0</v>
      </c>
      <c r="O178" s="10" t="s">
        <v>26</v>
      </c>
      <c r="P178" s="13"/>
      <c r="Q178" s="14"/>
    </row>
    <row r="179" spans="1:17" x14ac:dyDescent="0.25">
      <c r="A179" s="5" t="s">
        <v>12</v>
      </c>
      <c r="B179" s="6">
        <v>46303</v>
      </c>
      <c r="C179" s="7"/>
      <c r="D179" s="8">
        <v>1971.43</v>
      </c>
      <c r="E179" s="8">
        <f t="shared" si="27"/>
        <v>0</v>
      </c>
      <c r="F179" s="9"/>
      <c r="G179" s="8">
        <f t="shared" si="28"/>
        <v>2957.145</v>
      </c>
      <c r="H179" s="8">
        <f t="shared" si="29"/>
        <v>0</v>
      </c>
      <c r="I179" s="9"/>
      <c r="J179" s="8"/>
      <c r="K179" s="8">
        <f t="shared" si="30"/>
        <v>0</v>
      </c>
      <c r="L179" s="8">
        <f t="shared" si="31"/>
        <v>0</v>
      </c>
      <c r="O179" s="17" t="s">
        <v>28</v>
      </c>
      <c r="P179" s="18">
        <f>SUM(P175:P178)</f>
        <v>0</v>
      </c>
      <c r="Q179" s="19">
        <f>+P179</f>
        <v>0</v>
      </c>
    </row>
    <row r="180" spans="1:17" x14ac:dyDescent="0.25">
      <c r="A180" s="5" t="s">
        <v>14</v>
      </c>
      <c r="B180" s="6">
        <v>46304</v>
      </c>
      <c r="C180" s="7"/>
      <c r="D180" s="8">
        <v>1971.43</v>
      </c>
      <c r="E180" s="8">
        <f t="shared" si="27"/>
        <v>0</v>
      </c>
      <c r="F180" s="9"/>
      <c r="G180" s="8">
        <f t="shared" si="28"/>
        <v>2957.145</v>
      </c>
      <c r="H180" s="8">
        <f t="shared" si="29"/>
        <v>0</v>
      </c>
      <c r="I180" s="9"/>
      <c r="J180" s="8"/>
      <c r="K180" s="8">
        <f t="shared" si="30"/>
        <v>0</v>
      </c>
      <c r="L180" s="8">
        <f t="shared" si="31"/>
        <v>0</v>
      </c>
      <c r="O180" s="83" t="s">
        <v>29</v>
      </c>
      <c r="P180" s="84"/>
      <c r="Q180" s="20"/>
    </row>
    <row r="181" spans="1:17" x14ac:dyDescent="0.25">
      <c r="A181" s="5" t="s">
        <v>17</v>
      </c>
      <c r="B181" s="6">
        <v>46305</v>
      </c>
      <c r="C181" s="7"/>
      <c r="D181" s="8">
        <v>1971.43</v>
      </c>
      <c r="E181" s="8">
        <f t="shared" si="27"/>
        <v>0</v>
      </c>
      <c r="F181" s="9"/>
      <c r="G181" s="8">
        <f t="shared" si="28"/>
        <v>2957.145</v>
      </c>
      <c r="H181" s="8">
        <f t="shared" si="29"/>
        <v>0</v>
      </c>
      <c r="I181" s="9"/>
      <c r="J181" s="8"/>
      <c r="K181" s="8">
        <f t="shared" si="30"/>
        <v>0</v>
      </c>
      <c r="L181" s="8">
        <f t="shared" si="31"/>
        <v>0</v>
      </c>
      <c r="O181" s="85" t="str">
        <f>+O19</f>
        <v>CCSS 10.83%</v>
      </c>
      <c r="P181" s="86"/>
      <c r="Q181" s="21"/>
    </row>
    <row r="182" spans="1:17" x14ac:dyDescent="0.25">
      <c r="A182" s="5" t="s">
        <v>20</v>
      </c>
      <c r="B182" s="6">
        <v>46306</v>
      </c>
      <c r="C182" s="7"/>
      <c r="D182" s="8">
        <v>1971.43</v>
      </c>
      <c r="E182" s="8">
        <f t="shared" si="27"/>
        <v>0</v>
      </c>
      <c r="F182" s="9"/>
      <c r="G182" s="8">
        <f t="shared" si="28"/>
        <v>2957.145</v>
      </c>
      <c r="H182" s="8">
        <f t="shared" si="29"/>
        <v>0</v>
      </c>
      <c r="I182" s="9"/>
      <c r="J182" s="8"/>
      <c r="K182" s="8">
        <f t="shared" si="30"/>
        <v>0</v>
      </c>
      <c r="L182" s="8">
        <f t="shared" si="31"/>
        <v>0</v>
      </c>
      <c r="O182" s="85" t="s">
        <v>31</v>
      </c>
      <c r="P182" s="86"/>
      <c r="Q182" s="21"/>
    </row>
    <row r="183" spans="1:17" x14ac:dyDescent="0.25">
      <c r="A183" s="5" t="s">
        <v>22</v>
      </c>
      <c r="B183" s="6">
        <v>46307</v>
      </c>
      <c r="C183" s="7"/>
      <c r="D183" s="8">
        <v>1971.43</v>
      </c>
      <c r="E183" s="8">
        <f t="shared" si="27"/>
        <v>0</v>
      </c>
      <c r="F183" s="9"/>
      <c r="G183" s="8">
        <f t="shared" si="28"/>
        <v>2957.145</v>
      </c>
      <c r="H183" s="8">
        <f t="shared" si="29"/>
        <v>0</v>
      </c>
      <c r="I183" s="9"/>
      <c r="J183" s="8"/>
      <c r="K183" s="8">
        <f t="shared" si="30"/>
        <v>0</v>
      </c>
      <c r="L183" s="8">
        <f t="shared" si="31"/>
        <v>0</v>
      </c>
      <c r="O183" s="85" t="s">
        <v>32</v>
      </c>
      <c r="P183" s="86"/>
      <c r="Q183" s="21"/>
    </row>
    <row r="184" spans="1:17" x14ac:dyDescent="0.25">
      <c r="A184" s="5" t="s">
        <v>24</v>
      </c>
      <c r="B184" s="6">
        <v>46308</v>
      </c>
      <c r="C184" s="7"/>
      <c r="D184" s="8">
        <v>1971.43</v>
      </c>
      <c r="E184" s="8">
        <f t="shared" si="27"/>
        <v>0</v>
      </c>
      <c r="F184" s="9"/>
      <c r="G184" s="8">
        <f t="shared" si="28"/>
        <v>2957.145</v>
      </c>
      <c r="H184" s="8">
        <f t="shared" si="29"/>
        <v>0</v>
      </c>
      <c r="I184" s="9"/>
      <c r="J184" s="8"/>
      <c r="K184" s="8">
        <f t="shared" si="30"/>
        <v>0</v>
      </c>
      <c r="L184" s="8">
        <f t="shared" si="31"/>
        <v>0</v>
      </c>
      <c r="O184" s="85" t="s">
        <v>33</v>
      </c>
      <c r="P184" s="86"/>
      <c r="Q184" s="21"/>
    </row>
    <row r="185" spans="1:17" x14ac:dyDescent="0.25">
      <c r="A185" s="5" t="s">
        <v>25</v>
      </c>
      <c r="B185" s="6">
        <v>46309</v>
      </c>
      <c r="C185" s="7"/>
      <c r="D185" s="8">
        <v>1971.43</v>
      </c>
      <c r="E185" s="8">
        <f t="shared" si="27"/>
        <v>0</v>
      </c>
      <c r="F185" s="9"/>
      <c r="G185" s="8">
        <f t="shared" si="28"/>
        <v>2957.145</v>
      </c>
      <c r="H185" s="8">
        <f t="shared" si="29"/>
        <v>0</v>
      </c>
      <c r="I185" s="9"/>
      <c r="J185" s="8"/>
      <c r="K185" s="8">
        <f t="shared" si="30"/>
        <v>0</v>
      </c>
      <c r="L185" s="8">
        <f t="shared" si="31"/>
        <v>0</v>
      </c>
      <c r="O185" s="85" t="s">
        <v>34</v>
      </c>
      <c r="P185" s="86"/>
      <c r="Q185" s="21">
        <f>SUM(Q181:Q184)</f>
        <v>0</v>
      </c>
    </row>
    <row r="186" spans="1:17" x14ac:dyDescent="0.25">
      <c r="A186" s="5" t="s">
        <v>12</v>
      </c>
      <c r="B186" s="6">
        <v>46310</v>
      </c>
      <c r="C186" s="7"/>
      <c r="D186" s="8">
        <v>1971.43</v>
      </c>
      <c r="E186" s="8">
        <f t="shared" si="27"/>
        <v>0</v>
      </c>
      <c r="F186" s="9"/>
      <c r="G186" s="8">
        <f t="shared" si="28"/>
        <v>2957.145</v>
      </c>
      <c r="H186" s="8">
        <f t="shared" si="29"/>
        <v>0</v>
      </c>
      <c r="I186" s="9"/>
      <c r="J186" s="8"/>
      <c r="K186" s="8">
        <f t="shared" si="30"/>
        <v>0</v>
      </c>
      <c r="L186" s="8">
        <f t="shared" si="31"/>
        <v>0</v>
      </c>
      <c r="O186" s="95"/>
      <c r="P186" s="96"/>
      <c r="Q186" s="14"/>
    </row>
    <row r="187" spans="1:17" ht="16.5" x14ac:dyDescent="0.35">
      <c r="A187" s="5"/>
      <c r="B187" s="6"/>
      <c r="C187" s="7"/>
      <c r="D187" s="8"/>
      <c r="E187" s="8"/>
      <c r="F187" s="9"/>
      <c r="G187" s="8"/>
      <c r="H187" s="8"/>
      <c r="I187" s="9"/>
      <c r="J187" s="8"/>
      <c r="K187" s="8"/>
      <c r="L187" s="8"/>
      <c r="O187" s="85" t="s">
        <v>35</v>
      </c>
      <c r="P187" s="86"/>
      <c r="Q187" s="22">
        <f>Q179-Q185</f>
        <v>0</v>
      </c>
    </row>
    <row r="188" spans="1:17" ht="16.5" x14ac:dyDescent="0.35">
      <c r="B188" s="97"/>
      <c r="C188" s="98"/>
      <c r="D188" s="99"/>
      <c r="E188" s="27"/>
      <c r="F188" s="25"/>
      <c r="G188" s="25"/>
      <c r="H188" s="8"/>
      <c r="I188" s="25"/>
      <c r="J188" s="25"/>
      <c r="K188" s="25"/>
      <c r="L188" s="26"/>
    </row>
    <row r="189" spans="1:17" ht="16.5" x14ac:dyDescent="0.35">
      <c r="B189" s="102"/>
      <c r="C189" s="103"/>
      <c r="D189" s="104"/>
      <c r="E189" s="28"/>
      <c r="F189" s="25"/>
      <c r="G189" s="25"/>
      <c r="H189" s="24">
        <f>SUM(H172:H187)</f>
        <v>0</v>
      </c>
      <c r="I189" s="25"/>
      <c r="J189" s="25"/>
      <c r="K189" s="24">
        <f>SUM(K172:K187)</f>
        <v>0</v>
      </c>
      <c r="L189" s="28">
        <f>SUM(H189:K189)</f>
        <v>0</v>
      </c>
      <c r="O189" s="100" t="s">
        <v>36</v>
      </c>
      <c r="P189" s="100"/>
      <c r="Q189" s="100"/>
    </row>
    <row r="190" spans="1:17" ht="16.5" x14ac:dyDescent="0.35">
      <c r="B190" s="1"/>
      <c r="C190" s="1"/>
      <c r="D190" s="1"/>
      <c r="E190" s="40"/>
      <c r="F190" s="1"/>
      <c r="G190" s="1"/>
      <c r="H190" s="41"/>
      <c r="I190" s="1"/>
      <c r="J190" s="30"/>
      <c r="K190" s="30"/>
      <c r="L190" s="31"/>
      <c r="O190" s="101" t="s">
        <v>37</v>
      </c>
      <c r="P190" s="101"/>
      <c r="Q190" s="101"/>
    </row>
    <row r="191" spans="1:17" x14ac:dyDescent="0.25">
      <c r="B191" s="1"/>
      <c r="C191" s="1"/>
      <c r="D191" s="1"/>
      <c r="E191" s="40"/>
      <c r="F191" s="1"/>
      <c r="G191" s="1"/>
      <c r="H191" s="41"/>
      <c r="I191" s="1"/>
      <c r="J191" s="30"/>
      <c r="K191" s="30"/>
      <c r="L191" s="32"/>
    </row>
    <row r="192" spans="1:17" x14ac:dyDescent="0.25">
      <c r="B192" s="1"/>
      <c r="C192" s="1"/>
      <c r="D192" s="1"/>
      <c r="E192" s="40"/>
      <c r="F192" s="1"/>
      <c r="G192" s="1"/>
      <c r="H192" s="41"/>
      <c r="I192" s="1"/>
      <c r="J192" s="30"/>
      <c r="K192" s="30"/>
      <c r="L192" s="32"/>
    </row>
    <row r="193" spans="1:17" x14ac:dyDescent="0.25">
      <c r="B193" s="1"/>
      <c r="C193" s="1"/>
      <c r="D193" s="1"/>
      <c r="E193" s="42" t="s">
        <v>57</v>
      </c>
      <c r="F193" s="43"/>
      <c r="G193" s="43"/>
      <c r="H193" s="42"/>
      <c r="I193" s="1"/>
      <c r="J193" s="30"/>
      <c r="K193" s="30"/>
      <c r="L193" s="32"/>
    </row>
    <row r="194" spans="1:17" x14ac:dyDescent="0.25">
      <c r="B194" s="1"/>
      <c r="C194" s="1"/>
      <c r="D194" s="1"/>
      <c r="E194" s="42"/>
      <c r="F194" s="43"/>
      <c r="G194" s="43"/>
      <c r="H194" s="42"/>
      <c r="I194" s="1"/>
      <c r="J194" s="30"/>
      <c r="K194" s="30"/>
      <c r="L194" s="32"/>
    </row>
    <row r="195" spans="1:17" x14ac:dyDescent="0.25">
      <c r="B195" s="1"/>
      <c r="C195" s="1"/>
      <c r="D195" s="1"/>
      <c r="E195" s="42"/>
      <c r="F195" s="43"/>
      <c r="G195" s="43"/>
      <c r="H195" s="42"/>
      <c r="I195" s="1"/>
      <c r="J195" s="30"/>
      <c r="K195" s="30"/>
      <c r="L195" s="32"/>
    </row>
    <row r="196" spans="1:17" x14ac:dyDescent="0.25">
      <c r="B196" s="87" t="s">
        <v>0</v>
      </c>
      <c r="C196" s="87"/>
      <c r="D196" s="87"/>
      <c r="E196" s="87"/>
      <c r="F196" s="87"/>
      <c r="G196" s="87"/>
      <c r="H196" s="87"/>
      <c r="I196" s="87"/>
      <c r="J196" s="87"/>
      <c r="K196" s="87"/>
      <c r="L196" s="87"/>
    </row>
    <row r="197" spans="1:17" x14ac:dyDescent="0.25">
      <c r="B197" s="87" t="s">
        <v>1</v>
      </c>
      <c r="C197" s="87"/>
      <c r="D197" s="87"/>
      <c r="E197" s="87"/>
      <c r="F197" s="87"/>
      <c r="G197" s="87"/>
      <c r="H197" s="87"/>
      <c r="I197" s="87"/>
      <c r="J197" s="87"/>
      <c r="K197" s="87"/>
      <c r="L197" s="87"/>
    </row>
    <row r="198" spans="1:17" x14ac:dyDescent="0.25">
      <c r="B198" s="1"/>
      <c r="C198" s="1"/>
      <c r="D198" s="1"/>
      <c r="E198" s="40"/>
      <c r="F198" s="1"/>
      <c r="G198" s="1"/>
      <c r="H198" s="41"/>
      <c r="I198" s="1"/>
      <c r="J198" s="30"/>
      <c r="K198" s="30"/>
      <c r="L198" s="32"/>
    </row>
    <row r="199" spans="1:17" x14ac:dyDescent="0.25">
      <c r="B199" s="94" t="s">
        <v>58</v>
      </c>
      <c r="C199" s="94"/>
      <c r="D199" s="94"/>
      <c r="E199" s="94"/>
      <c r="F199" s="94"/>
      <c r="G199" s="94"/>
      <c r="H199" s="94"/>
      <c r="I199" s="94"/>
      <c r="J199" s="94"/>
      <c r="K199" s="94"/>
      <c r="L199" s="94"/>
    </row>
    <row r="201" spans="1:17" ht="23.25" x14ac:dyDescent="0.25">
      <c r="B201" s="25" t="s">
        <v>3</v>
      </c>
      <c r="C201" s="4" t="s">
        <v>4</v>
      </c>
      <c r="D201" s="4" t="s">
        <v>5</v>
      </c>
      <c r="E201" s="4" t="s">
        <v>6</v>
      </c>
      <c r="F201" s="4" t="s">
        <v>7</v>
      </c>
      <c r="G201" s="4" t="s">
        <v>8</v>
      </c>
      <c r="H201" s="4" t="s">
        <v>6</v>
      </c>
      <c r="I201" s="4" t="s">
        <v>9</v>
      </c>
      <c r="J201" s="4" t="s">
        <v>10</v>
      </c>
      <c r="K201" s="4" t="s">
        <v>6</v>
      </c>
      <c r="L201" s="4" t="s">
        <v>11</v>
      </c>
      <c r="O201" s="89" t="s">
        <v>0</v>
      </c>
      <c r="P201" s="90"/>
      <c r="Q201" s="91"/>
    </row>
    <row r="202" spans="1:17" x14ac:dyDescent="0.25">
      <c r="A202" s="5" t="s">
        <v>12</v>
      </c>
      <c r="B202" s="6">
        <v>46296</v>
      </c>
      <c r="C202" s="7">
        <v>8</v>
      </c>
      <c r="D202" s="8">
        <v>1725</v>
      </c>
      <c r="E202" s="8">
        <f t="shared" ref="E202:E216" si="32">+C202*D202</f>
        <v>13800</v>
      </c>
      <c r="F202" s="9">
        <v>2</v>
      </c>
      <c r="G202" s="8">
        <f t="shared" ref="G202:G216" si="33">+D202*1.5</f>
        <v>2587.5</v>
      </c>
      <c r="H202" s="8">
        <f t="shared" ref="H202:H216" si="34">+F202*G202</f>
        <v>5175</v>
      </c>
      <c r="I202" s="9"/>
      <c r="J202" s="8"/>
      <c r="K202" s="8">
        <f t="shared" ref="K202:K216" si="35">+I202*J202</f>
        <v>0</v>
      </c>
      <c r="L202" s="8">
        <f t="shared" ref="L202:L216" si="36">+E202+H202+K202</f>
        <v>18975</v>
      </c>
      <c r="O202" s="89" t="s">
        <v>13</v>
      </c>
      <c r="P202" s="90"/>
      <c r="Q202" s="91"/>
    </row>
    <row r="203" spans="1:17" x14ac:dyDescent="0.25">
      <c r="A203" s="5" t="s">
        <v>14</v>
      </c>
      <c r="B203" s="6">
        <v>46297</v>
      </c>
      <c r="C203" s="7">
        <v>8</v>
      </c>
      <c r="D203" s="8">
        <v>1725</v>
      </c>
      <c r="E203" s="8">
        <f t="shared" si="32"/>
        <v>13800</v>
      </c>
      <c r="F203" s="9">
        <v>2</v>
      </c>
      <c r="G203" s="8">
        <f t="shared" si="33"/>
        <v>2587.5</v>
      </c>
      <c r="H203" s="8">
        <f t="shared" si="34"/>
        <v>5175</v>
      </c>
      <c r="I203" s="9"/>
      <c r="J203" s="8"/>
      <c r="K203" s="8">
        <f t="shared" si="35"/>
        <v>0</v>
      </c>
      <c r="L203" s="8">
        <f t="shared" si="36"/>
        <v>18975</v>
      </c>
      <c r="O203" s="10" t="s">
        <v>15</v>
      </c>
      <c r="P203" s="92" t="s">
        <v>59</v>
      </c>
      <c r="Q203" s="93"/>
    </row>
    <row r="204" spans="1:17" x14ac:dyDescent="0.25">
      <c r="A204" s="5" t="s">
        <v>17</v>
      </c>
      <c r="B204" s="6">
        <v>46298</v>
      </c>
      <c r="C204" s="7">
        <v>8</v>
      </c>
      <c r="D204" s="8">
        <v>1725</v>
      </c>
      <c r="E204" s="8">
        <f t="shared" si="32"/>
        <v>13800</v>
      </c>
      <c r="F204" s="9">
        <v>2</v>
      </c>
      <c r="G204" s="8">
        <f t="shared" si="33"/>
        <v>2587.5</v>
      </c>
      <c r="H204" s="8">
        <f t="shared" si="34"/>
        <v>5175</v>
      </c>
      <c r="I204" s="9"/>
      <c r="J204" s="8"/>
      <c r="K204" s="8">
        <f t="shared" si="35"/>
        <v>0</v>
      </c>
      <c r="L204" s="8">
        <f t="shared" si="36"/>
        <v>18975</v>
      </c>
      <c r="O204" s="10" t="str">
        <f>+O12</f>
        <v>FECHA:         15/10/2026</v>
      </c>
      <c r="P204" s="11" t="s">
        <v>19</v>
      </c>
      <c r="Q204" s="12">
        <f>+Q12</f>
        <v>419755.93</v>
      </c>
    </row>
    <row r="205" spans="1:17" x14ac:dyDescent="0.25">
      <c r="A205" s="5" t="s">
        <v>20</v>
      </c>
      <c r="B205" s="6">
        <v>46299</v>
      </c>
      <c r="C205" s="7">
        <v>8</v>
      </c>
      <c r="D205" s="8">
        <v>1725</v>
      </c>
      <c r="E205" s="8">
        <f t="shared" si="32"/>
        <v>13800</v>
      </c>
      <c r="F205" s="9"/>
      <c r="G205" s="8">
        <f t="shared" si="33"/>
        <v>2587.5</v>
      </c>
      <c r="H205" s="8">
        <f t="shared" si="34"/>
        <v>0</v>
      </c>
      <c r="I205" s="9"/>
      <c r="J205" s="8"/>
      <c r="K205" s="8">
        <f t="shared" si="35"/>
        <v>0</v>
      </c>
      <c r="L205" s="8">
        <f t="shared" si="36"/>
        <v>13800</v>
      </c>
      <c r="O205" s="10" t="s">
        <v>21</v>
      </c>
      <c r="P205" s="13">
        <f>+Q204/2</f>
        <v>209877.965</v>
      </c>
      <c r="Q205" s="14"/>
    </row>
    <row r="206" spans="1:17" x14ac:dyDescent="0.25">
      <c r="A206" s="5" t="s">
        <v>22</v>
      </c>
      <c r="B206" s="6">
        <v>46300</v>
      </c>
      <c r="C206" s="7">
        <v>8</v>
      </c>
      <c r="D206" s="8">
        <v>1725</v>
      </c>
      <c r="E206" s="8">
        <f t="shared" si="32"/>
        <v>13800</v>
      </c>
      <c r="F206" s="9">
        <v>2</v>
      </c>
      <c r="G206" s="8">
        <f t="shared" si="33"/>
        <v>2587.5</v>
      </c>
      <c r="H206" s="8">
        <f t="shared" si="34"/>
        <v>5175</v>
      </c>
      <c r="I206" s="9"/>
      <c r="J206" s="8"/>
      <c r="K206" s="8">
        <f t="shared" si="35"/>
        <v>0</v>
      </c>
      <c r="L206" s="8">
        <f t="shared" si="36"/>
        <v>18975</v>
      </c>
      <c r="O206" s="10" t="s">
        <v>23</v>
      </c>
      <c r="P206" s="13">
        <f>+H220</f>
        <v>67275</v>
      </c>
      <c r="Q206" s="14"/>
    </row>
    <row r="207" spans="1:17" x14ac:dyDescent="0.25">
      <c r="A207" s="5" t="s">
        <v>24</v>
      </c>
      <c r="B207" s="6">
        <v>46301</v>
      </c>
      <c r="C207" s="7">
        <v>8</v>
      </c>
      <c r="D207" s="8">
        <v>1725</v>
      </c>
      <c r="E207" s="8">
        <f t="shared" si="32"/>
        <v>13800</v>
      </c>
      <c r="F207" s="9">
        <v>2</v>
      </c>
      <c r="G207" s="8">
        <f t="shared" si="33"/>
        <v>2587.5</v>
      </c>
      <c r="H207" s="8">
        <f t="shared" si="34"/>
        <v>5175</v>
      </c>
      <c r="I207" s="9"/>
      <c r="J207" s="8"/>
      <c r="K207" s="8">
        <f t="shared" si="35"/>
        <v>0</v>
      </c>
      <c r="L207" s="8">
        <f t="shared" si="36"/>
        <v>18975</v>
      </c>
      <c r="O207" s="10" t="s">
        <v>9</v>
      </c>
      <c r="P207" s="13">
        <f>+K220</f>
        <v>0</v>
      </c>
      <c r="Q207" s="14"/>
    </row>
    <row r="208" spans="1:17" x14ac:dyDescent="0.25">
      <c r="A208" s="5" t="s">
        <v>25</v>
      </c>
      <c r="B208" s="6">
        <v>46302</v>
      </c>
      <c r="C208" s="7">
        <v>8</v>
      </c>
      <c r="D208" s="8">
        <v>1725</v>
      </c>
      <c r="E208" s="8">
        <f t="shared" si="32"/>
        <v>13800</v>
      </c>
      <c r="F208" s="9">
        <v>2</v>
      </c>
      <c r="G208" s="8">
        <f t="shared" si="33"/>
        <v>2587.5</v>
      </c>
      <c r="H208" s="8">
        <f t="shared" si="34"/>
        <v>5175</v>
      </c>
      <c r="I208" s="9"/>
      <c r="J208" s="8"/>
      <c r="K208" s="8">
        <f t="shared" si="35"/>
        <v>0</v>
      </c>
      <c r="L208" s="8">
        <f t="shared" si="36"/>
        <v>18975</v>
      </c>
      <c r="O208" s="10" t="s">
        <v>26</v>
      </c>
      <c r="P208" s="13"/>
      <c r="Q208" s="14"/>
    </row>
    <row r="209" spans="1:17" x14ac:dyDescent="0.25">
      <c r="A209" s="5" t="s">
        <v>12</v>
      </c>
      <c r="B209" s="6">
        <v>46303</v>
      </c>
      <c r="C209" s="7">
        <v>8</v>
      </c>
      <c r="D209" s="8">
        <v>1725</v>
      </c>
      <c r="E209" s="8">
        <f t="shared" si="32"/>
        <v>13800</v>
      </c>
      <c r="F209" s="9">
        <v>2</v>
      </c>
      <c r="G209" s="8">
        <f t="shared" si="33"/>
        <v>2587.5</v>
      </c>
      <c r="H209" s="8">
        <f t="shared" si="34"/>
        <v>5175</v>
      </c>
      <c r="I209" s="9"/>
      <c r="J209" s="8"/>
      <c r="K209" s="8">
        <f t="shared" si="35"/>
        <v>0</v>
      </c>
      <c r="L209" s="8">
        <f t="shared" si="36"/>
        <v>18975</v>
      </c>
      <c r="O209" s="17" t="s">
        <v>28</v>
      </c>
      <c r="P209" s="18">
        <f>SUM(P205:P208)</f>
        <v>277152.96499999997</v>
      </c>
      <c r="Q209" s="19">
        <f>+P209</f>
        <v>277152.96499999997</v>
      </c>
    </row>
    <row r="210" spans="1:17" x14ac:dyDescent="0.25">
      <c r="A210" s="5" t="s">
        <v>14</v>
      </c>
      <c r="B210" s="6">
        <v>46304</v>
      </c>
      <c r="C210" s="7">
        <v>8</v>
      </c>
      <c r="D210" s="8">
        <v>1725</v>
      </c>
      <c r="E210" s="8">
        <f t="shared" si="32"/>
        <v>13800</v>
      </c>
      <c r="F210" s="9">
        <v>2</v>
      </c>
      <c r="G210" s="8">
        <f t="shared" si="33"/>
        <v>2587.5</v>
      </c>
      <c r="H210" s="8">
        <f t="shared" si="34"/>
        <v>5175</v>
      </c>
      <c r="I210" s="9"/>
      <c r="J210" s="8"/>
      <c r="K210" s="8">
        <f t="shared" si="35"/>
        <v>0</v>
      </c>
      <c r="L210" s="8">
        <f t="shared" si="36"/>
        <v>18975</v>
      </c>
      <c r="O210" s="83" t="s">
        <v>29</v>
      </c>
      <c r="P210" s="84"/>
      <c r="Q210" s="20"/>
    </row>
    <row r="211" spans="1:17" x14ac:dyDescent="0.25">
      <c r="A211" s="5" t="s">
        <v>17</v>
      </c>
      <c r="B211" s="6">
        <v>46305</v>
      </c>
      <c r="C211" s="7">
        <v>8</v>
      </c>
      <c r="D211" s="8">
        <v>1725</v>
      </c>
      <c r="E211" s="8">
        <f t="shared" si="32"/>
        <v>13800</v>
      </c>
      <c r="F211" s="9">
        <v>2</v>
      </c>
      <c r="G211" s="8">
        <f t="shared" si="33"/>
        <v>2587.5</v>
      </c>
      <c r="H211" s="8">
        <f t="shared" si="34"/>
        <v>5175</v>
      </c>
      <c r="I211" s="9"/>
      <c r="J211" s="8"/>
      <c r="K211" s="8">
        <f t="shared" si="35"/>
        <v>0</v>
      </c>
      <c r="L211" s="8">
        <f t="shared" si="36"/>
        <v>18975</v>
      </c>
      <c r="O211" s="85" t="str">
        <f>+O19</f>
        <v>CCSS 10.83%</v>
      </c>
      <c r="P211" s="86"/>
      <c r="Q211" s="21">
        <f>+Q19</f>
        <v>22729.783609500002</v>
      </c>
    </row>
    <row r="212" spans="1:17" x14ac:dyDescent="0.25">
      <c r="A212" s="5" t="s">
        <v>20</v>
      </c>
      <c r="B212" s="6">
        <v>46306</v>
      </c>
      <c r="C212" s="7">
        <v>8</v>
      </c>
      <c r="D212" s="8">
        <v>1725</v>
      </c>
      <c r="E212" s="8">
        <f t="shared" si="32"/>
        <v>13800</v>
      </c>
      <c r="F212" s="9"/>
      <c r="G212" s="8">
        <f t="shared" si="33"/>
        <v>2587.5</v>
      </c>
      <c r="H212" s="8">
        <f t="shared" si="34"/>
        <v>0</v>
      </c>
      <c r="I212" s="9"/>
      <c r="J212" s="8"/>
      <c r="K212" s="8">
        <f t="shared" si="35"/>
        <v>0</v>
      </c>
      <c r="L212" s="8">
        <f t="shared" si="36"/>
        <v>13800</v>
      </c>
      <c r="O212" s="85" t="s">
        <v>31</v>
      </c>
      <c r="P212" s="86"/>
      <c r="Q212" s="21">
        <v>4910</v>
      </c>
    </row>
    <row r="213" spans="1:17" x14ac:dyDescent="0.25">
      <c r="A213" s="5" t="s">
        <v>22</v>
      </c>
      <c r="B213" s="6">
        <v>46307</v>
      </c>
      <c r="C213" s="7">
        <v>8</v>
      </c>
      <c r="D213" s="8">
        <v>1725</v>
      </c>
      <c r="E213" s="8">
        <f t="shared" si="32"/>
        <v>13800</v>
      </c>
      <c r="F213" s="9">
        <v>2</v>
      </c>
      <c r="G213" s="8">
        <f t="shared" si="33"/>
        <v>2587.5</v>
      </c>
      <c r="H213" s="8">
        <f t="shared" si="34"/>
        <v>5175</v>
      </c>
      <c r="I213" s="9"/>
      <c r="J213" s="8"/>
      <c r="K213" s="8">
        <f t="shared" si="35"/>
        <v>0</v>
      </c>
      <c r="L213" s="8">
        <f t="shared" si="36"/>
        <v>18975</v>
      </c>
      <c r="O213" s="85" t="s">
        <v>32</v>
      </c>
      <c r="P213" s="86"/>
      <c r="Q213" s="21"/>
    </row>
    <row r="214" spans="1:17" x14ac:dyDescent="0.25">
      <c r="A214" s="5" t="s">
        <v>24</v>
      </c>
      <c r="B214" s="6">
        <v>46308</v>
      </c>
      <c r="C214" s="7">
        <v>8</v>
      </c>
      <c r="D214" s="8">
        <v>1725</v>
      </c>
      <c r="E214" s="8">
        <f t="shared" si="32"/>
        <v>13800</v>
      </c>
      <c r="F214" s="9">
        <v>2</v>
      </c>
      <c r="G214" s="8">
        <f t="shared" si="33"/>
        <v>2587.5</v>
      </c>
      <c r="H214" s="8">
        <f t="shared" si="34"/>
        <v>5175</v>
      </c>
      <c r="I214" s="9"/>
      <c r="J214" s="8"/>
      <c r="K214" s="8">
        <f t="shared" si="35"/>
        <v>0</v>
      </c>
      <c r="L214" s="8">
        <f t="shared" si="36"/>
        <v>18975</v>
      </c>
      <c r="O214" s="85" t="s">
        <v>33</v>
      </c>
      <c r="P214" s="86"/>
      <c r="Q214" s="21"/>
    </row>
    <row r="215" spans="1:17" x14ac:dyDescent="0.25">
      <c r="A215" s="5" t="s">
        <v>25</v>
      </c>
      <c r="B215" s="6">
        <v>46309</v>
      </c>
      <c r="C215" s="7">
        <v>8</v>
      </c>
      <c r="D215" s="8">
        <v>1725</v>
      </c>
      <c r="E215" s="8">
        <f t="shared" si="32"/>
        <v>13800</v>
      </c>
      <c r="F215" s="9">
        <v>2</v>
      </c>
      <c r="G215" s="8">
        <f t="shared" si="33"/>
        <v>2587.5</v>
      </c>
      <c r="H215" s="8">
        <f t="shared" si="34"/>
        <v>5175</v>
      </c>
      <c r="I215" s="9"/>
      <c r="J215" s="8"/>
      <c r="K215" s="8">
        <f t="shared" si="35"/>
        <v>0</v>
      </c>
      <c r="L215" s="8">
        <f t="shared" si="36"/>
        <v>18975</v>
      </c>
      <c r="O215" s="85" t="s">
        <v>34</v>
      </c>
      <c r="P215" s="86"/>
      <c r="Q215" s="21">
        <f>SUM(Q211:Q214)</f>
        <v>27639.783609500002</v>
      </c>
    </row>
    <row r="216" spans="1:17" x14ac:dyDescent="0.25">
      <c r="A216" s="5" t="s">
        <v>12</v>
      </c>
      <c r="B216" s="6">
        <v>46310</v>
      </c>
      <c r="C216" s="7">
        <v>8</v>
      </c>
      <c r="D216" s="8">
        <v>1725</v>
      </c>
      <c r="E216" s="8">
        <f t="shared" si="32"/>
        <v>13800</v>
      </c>
      <c r="F216" s="9">
        <v>2</v>
      </c>
      <c r="G216" s="8">
        <f t="shared" si="33"/>
        <v>2587.5</v>
      </c>
      <c r="H216" s="8">
        <f t="shared" si="34"/>
        <v>5175</v>
      </c>
      <c r="I216" s="9"/>
      <c r="J216" s="8"/>
      <c r="K216" s="8">
        <f t="shared" si="35"/>
        <v>0</v>
      </c>
      <c r="L216" s="8">
        <f t="shared" si="36"/>
        <v>18975</v>
      </c>
      <c r="O216" s="95"/>
      <c r="P216" s="96"/>
      <c r="Q216" s="14"/>
    </row>
    <row r="217" spans="1:17" ht="16.5" x14ac:dyDescent="0.35">
      <c r="A217" s="5"/>
      <c r="B217" s="6"/>
      <c r="C217" s="7"/>
      <c r="D217" s="8"/>
      <c r="E217" s="8"/>
      <c r="F217" s="9"/>
      <c r="G217" s="8"/>
      <c r="H217" s="8"/>
      <c r="I217" s="9"/>
      <c r="J217" s="8"/>
      <c r="K217" s="8"/>
      <c r="L217" s="8"/>
      <c r="O217" s="85" t="s">
        <v>35</v>
      </c>
      <c r="P217" s="86"/>
      <c r="Q217" s="22">
        <f>Q209-Q215</f>
        <v>249513.18139049996</v>
      </c>
    </row>
    <row r="218" spans="1:17" ht="16.5" x14ac:dyDescent="0.35">
      <c r="B218" s="37"/>
      <c r="C218" s="37"/>
      <c r="D218" s="37"/>
      <c r="E218" s="27"/>
      <c r="F218" s="25"/>
      <c r="G218" s="25"/>
      <c r="H218" s="8"/>
      <c r="I218" s="25"/>
      <c r="J218" s="25"/>
      <c r="K218" s="25"/>
      <c r="L218" s="26"/>
    </row>
    <row r="219" spans="1:17" ht="16.5" x14ac:dyDescent="0.35">
      <c r="B219" s="97"/>
      <c r="C219" s="98"/>
      <c r="D219" s="99"/>
      <c r="E219" s="27"/>
      <c r="F219" s="25"/>
      <c r="G219" s="25"/>
      <c r="H219" s="8"/>
      <c r="I219" s="25"/>
      <c r="J219" s="25"/>
      <c r="K219" s="25"/>
      <c r="L219" s="26"/>
      <c r="O219" s="100" t="s">
        <v>36</v>
      </c>
      <c r="P219" s="100"/>
      <c r="Q219" s="100"/>
    </row>
    <row r="220" spans="1:17" ht="16.5" x14ac:dyDescent="0.35">
      <c r="B220" s="105"/>
      <c r="C220" s="106"/>
      <c r="D220" s="107"/>
      <c r="E220" s="39"/>
      <c r="F220" s="25"/>
      <c r="G220" s="25"/>
      <c r="H220" s="24">
        <f>SUM(H202:H218)</f>
        <v>67275</v>
      </c>
      <c r="I220" s="25"/>
      <c r="J220" s="25"/>
      <c r="K220" s="24">
        <f>SUM(K202:K219)</f>
        <v>0</v>
      </c>
      <c r="L220" s="28">
        <f>SUM(H220:K220)</f>
        <v>67275</v>
      </c>
      <c r="O220" s="101" t="s">
        <v>37</v>
      </c>
      <c r="P220" s="101"/>
      <c r="Q220" s="101"/>
    </row>
    <row r="221" spans="1:17" ht="16.5" x14ac:dyDescent="0.35">
      <c r="E221" s="44"/>
      <c r="J221" s="30"/>
      <c r="K221" s="30"/>
      <c r="L221" s="31"/>
    </row>
    <row r="222" spans="1:17" x14ac:dyDescent="0.25">
      <c r="E222" s="44"/>
      <c r="J222" s="30"/>
      <c r="K222" s="30"/>
      <c r="L222" s="32"/>
    </row>
    <row r="223" spans="1:17" x14ac:dyDescent="0.25">
      <c r="E223" s="44"/>
      <c r="J223" s="30"/>
      <c r="K223" s="30"/>
      <c r="L223" s="32"/>
    </row>
    <row r="224" spans="1:17" x14ac:dyDescent="0.25">
      <c r="E224" s="44"/>
      <c r="J224" s="30"/>
      <c r="K224" s="30"/>
      <c r="L224" s="32"/>
    </row>
    <row r="225" spans="1:17" x14ac:dyDescent="0.25">
      <c r="E225" s="44" t="s">
        <v>48</v>
      </c>
      <c r="J225" s="30"/>
      <c r="K225" s="30"/>
      <c r="L225" s="32"/>
    </row>
    <row r="226" spans="1:17" x14ac:dyDescent="0.25">
      <c r="E226" s="44"/>
      <c r="J226" s="30"/>
      <c r="K226" s="30"/>
      <c r="L226" s="32"/>
    </row>
    <row r="227" spans="1:17" x14ac:dyDescent="0.25">
      <c r="E227" s="44"/>
      <c r="J227" s="30"/>
      <c r="K227" s="30"/>
      <c r="L227" s="32"/>
    </row>
    <row r="228" spans="1:17" x14ac:dyDescent="0.25">
      <c r="E228" s="44"/>
      <c r="J228" s="30"/>
      <c r="K228" s="30"/>
      <c r="L228" s="32"/>
    </row>
    <row r="229" spans="1:17" x14ac:dyDescent="0.25">
      <c r="E229" s="44"/>
      <c r="J229" s="30"/>
      <c r="K229" s="30"/>
      <c r="L229" s="32"/>
    </row>
    <row r="230" spans="1:17" x14ac:dyDescent="0.25">
      <c r="B230" s="94" t="s">
        <v>60</v>
      </c>
      <c r="C230" s="94"/>
      <c r="D230" s="94"/>
      <c r="E230" s="94"/>
      <c r="F230" s="94"/>
      <c r="G230" s="94"/>
      <c r="H230" s="94"/>
      <c r="I230" s="94"/>
      <c r="J230" s="94"/>
      <c r="K230" s="94"/>
      <c r="L230" s="94"/>
    </row>
    <row r="231" spans="1:17" s="47" customFormat="1" x14ac:dyDescent="0.25">
      <c r="A231" s="45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</row>
    <row r="232" spans="1:17" s="47" customFormat="1" x14ac:dyDescent="0.25">
      <c r="A232" s="45"/>
      <c r="B232" s="87" t="s">
        <v>0</v>
      </c>
      <c r="C232" s="87"/>
      <c r="D232" s="87"/>
      <c r="E232" s="87"/>
      <c r="F232" s="87"/>
      <c r="G232" s="87"/>
      <c r="H232" s="87"/>
      <c r="I232" s="87"/>
      <c r="J232" s="87"/>
      <c r="K232" s="87"/>
      <c r="L232" s="87"/>
    </row>
    <row r="233" spans="1:17" s="47" customFormat="1" x14ac:dyDescent="0.25">
      <c r="A233" s="45"/>
      <c r="B233" s="87" t="s">
        <v>1</v>
      </c>
      <c r="C233" s="87"/>
      <c r="D233" s="87"/>
      <c r="E233" s="87"/>
      <c r="F233" s="87"/>
      <c r="G233" s="87"/>
      <c r="H233" s="87"/>
      <c r="I233" s="87"/>
      <c r="J233" s="87"/>
      <c r="K233" s="87"/>
      <c r="L233" s="87"/>
    </row>
    <row r="234" spans="1:17" s="47" customFormat="1" x14ac:dyDescent="0.25">
      <c r="A234" s="45"/>
    </row>
    <row r="235" spans="1:17" ht="23.25" x14ac:dyDescent="0.25">
      <c r="B235" s="25" t="s">
        <v>3</v>
      </c>
      <c r="C235" s="4" t="s">
        <v>4</v>
      </c>
      <c r="D235" s="4" t="s">
        <v>5</v>
      </c>
      <c r="E235" s="4" t="s">
        <v>6</v>
      </c>
      <c r="F235" s="4" t="s">
        <v>7</v>
      </c>
      <c r="G235" s="4" t="s">
        <v>8</v>
      </c>
      <c r="H235" s="4" t="s">
        <v>6</v>
      </c>
      <c r="I235" s="4" t="s">
        <v>9</v>
      </c>
      <c r="J235" s="4" t="s">
        <v>10</v>
      </c>
      <c r="K235" s="4" t="s">
        <v>6</v>
      </c>
      <c r="L235" s="4" t="s">
        <v>11</v>
      </c>
      <c r="O235" s="89" t="s">
        <v>0</v>
      </c>
      <c r="P235" s="90"/>
      <c r="Q235" s="91"/>
    </row>
    <row r="236" spans="1:17" x14ac:dyDescent="0.25">
      <c r="A236" s="5" t="s">
        <v>12</v>
      </c>
      <c r="B236" s="6">
        <v>46296</v>
      </c>
      <c r="C236" s="7">
        <v>7</v>
      </c>
      <c r="D236" s="8">
        <v>1971.43</v>
      </c>
      <c r="E236" s="8">
        <f t="shared" ref="E236:E250" si="37">+C236*D236</f>
        <v>13800.01</v>
      </c>
      <c r="F236" s="9"/>
      <c r="G236" s="8">
        <f t="shared" ref="G236:G250" si="38">+D236*1.5</f>
        <v>2957.145</v>
      </c>
      <c r="H236" s="8">
        <f>+F236*G236</f>
        <v>0</v>
      </c>
      <c r="I236" s="9"/>
      <c r="J236" s="8"/>
      <c r="K236" s="8">
        <f>+I236*J236</f>
        <v>0</v>
      </c>
      <c r="L236" s="8">
        <f>+E236+H236+K236</f>
        <v>13800.01</v>
      </c>
      <c r="O236" s="89" t="s">
        <v>13</v>
      </c>
      <c r="P236" s="90"/>
      <c r="Q236" s="91"/>
    </row>
    <row r="237" spans="1:17" x14ac:dyDescent="0.25">
      <c r="A237" s="5" t="s">
        <v>14</v>
      </c>
      <c r="B237" s="6">
        <v>46297</v>
      </c>
      <c r="C237" s="7">
        <v>7</v>
      </c>
      <c r="D237" s="8">
        <v>1971.43</v>
      </c>
      <c r="E237" s="8">
        <f t="shared" si="37"/>
        <v>13800.01</v>
      </c>
      <c r="F237" s="9"/>
      <c r="G237" s="8">
        <f t="shared" si="38"/>
        <v>2957.145</v>
      </c>
      <c r="H237" s="8">
        <f t="shared" ref="H237:H250" si="39">+F237*G237</f>
        <v>0</v>
      </c>
      <c r="I237" s="9"/>
      <c r="J237" s="8"/>
      <c r="K237" s="8">
        <f t="shared" ref="K237:K250" si="40">+I237*J237</f>
        <v>0</v>
      </c>
      <c r="L237" s="8">
        <f t="shared" ref="L237:L250" si="41">+E237+H237+K237</f>
        <v>13800.01</v>
      </c>
      <c r="O237" s="10" t="s">
        <v>15</v>
      </c>
      <c r="P237" s="92" t="s">
        <v>61</v>
      </c>
      <c r="Q237" s="93"/>
    </row>
    <row r="238" spans="1:17" x14ac:dyDescent="0.25">
      <c r="A238" s="5" t="s">
        <v>17</v>
      </c>
      <c r="B238" s="6">
        <v>46298</v>
      </c>
      <c r="C238" s="7">
        <v>7</v>
      </c>
      <c r="D238" s="8">
        <v>1971.43</v>
      </c>
      <c r="E238" s="8">
        <f t="shared" si="37"/>
        <v>13800.01</v>
      </c>
      <c r="F238" s="9"/>
      <c r="G238" s="8">
        <f t="shared" si="38"/>
        <v>2957.145</v>
      </c>
      <c r="H238" s="8">
        <f t="shared" si="39"/>
        <v>0</v>
      </c>
      <c r="I238" s="9"/>
      <c r="J238" s="8"/>
      <c r="K238" s="8">
        <f t="shared" si="40"/>
        <v>0</v>
      </c>
      <c r="L238" s="8">
        <f t="shared" si="41"/>
        <v>13800.01</v>
      </c>
      <c r="O238" s="10" t="str">
        <f>+O12</f>
        <v>FECHA:         15/10/2026</v>
      </c>
      <c r="P238" s="11" t="s">
        <v>19</v>
      </c>
      <c r="Q238" s="12">
        <f>+Q12</f>
        <v>419755.93</v>
      </c>
    </row>
    <row r="239" spans="1:17" x14ac:dyDescent="0.25">
      <c r="A239" s="5" t="s">
        <v>20</v>
      </c>
      <c r="B239" s="6">
        <v>46299</v>
      </c>
      <c r="C239" s="7">
        <v>8</v>
      </c>
      <c r="D239" s="8">
        <v>1725</v>
      </c>
      <c r="E239" s="8">
        <f t="shared" si="37"/>
        <v>13800</v>
      </c>
      <c r="F239" s="9"/>
      <c r="G239" s="8">
        <f t="shared" si="38"/>
        <v>2587.5</v>
      </c>
      <c r="H239" s="8">
        <f t="shared" si="39"/>
        <v>0</v>
      </c>
      <c r="I239" s="9"/>
      <c r="J239" s="8"/>
      <c r="K239" s="8">
        <f t="shared" si="40"/>
        <v>0</v>
      </c>
      <c r="L239" s="8">
        <f t="shared" si="41"/>
        <v>13800</v>
      </c>
      <c r="O239" s="10" t="s">
        <v>21</v>
      </c>
      <c r="P239" s="13">
        <f>+Q238/2</f>
        <v>209877.965</v>
      </c>
      <c r="Q239" s="14"/>
    </row>
    <row r="240" spans="1:17" x14ac:dyDescent="0.25">
      <c r="A240" s="5" t="s">
        <v>22</v>
      </c>
      <c r="B240" s="6">
        <v>46300</v>
      </c>
      <c r="C240" s="7">
        <v>7</v>
      </c>
      <c r="D240" s="8">
        <v>1971.43</v>
      </c>
      <c r="E240" s="8">
        <f t="shared" si="37"/>
        <v>13800.01</v>
      </c>
      <c r="F240" s="9"/>
      <c r="G240" s="8">
        <f t="shared" si="38"/>
        <v>2957.145</v>
      </c>
      <c r="H240" s="8">
        <f t="shared" si="39"/>
        <v>0</v>
      </c>
      <c r="I240" s="9"/>
      <c r="J240" s="8"/>
      <c r="K240" s="8">
        <f t="shared" si="40"/>
        <v>0</v>
      </c>
      <c r="L240" s="8">
        <f t="shared" si="41"/>
        <v>13800.01</v>
      </c>
      <c r="O240" s="10" t="s">
        <v>23</v>
      </c>
      <c r="P240" s="13">
        <f>+H254</f>
        <v>0</v>
      </c>
      <c r="Q240" s="14"/>
    </row>
    <row r="241" spans="1:17" x14ac:dyDescent="0.25">
      <c r="A241" s="5" t="s">
        <v>24</v>
      </c>
      <c r="B241" s="6">
        <v>46301</v>
      </c>
      <c r="C241" s="7">
        <v>7</v>
      </c>
      <c r="D241" s="8">
        <v>1971.43</v>
      </c>
      <c r="E241" s="8">
        <f t="shared" si="37"/>
        <v>13800.01</v>
      </c>
      <c r="F241" s="9"/>
      <c r="G241" s="8">
        <f t="shared" si="38"/>
        <v>2957.145</v>
      </c>
      <c r="H241" s="8">
        <f t="shared" si="39"/>
        <v>0</v>
      </c>
      <c r="I241" s="9"/>
      <c r="J241" s="8"/>
      <c r="K241" s="8">
        <f t="shared" si="40"/>
        <v>0</v>
      </c>
      <c r="L241" s="8">
        <f t="shared" si="41"/>
        <v>13800.01</v>
      </c>
      <c r="O241" s="10" t="s">
        <v>9</v>
      </c>
      <c r="P241" s="13">
        <f>+K254</f>
        <v>0</v>
      </c>
      <c r="Q241" s="14"/>
    </row>
    <row r="242" spans="1:17" x14ac:dyDescent="0.25">
      <c r="A242" s="5" t="s">
        <v>25</v>
      </c>
      <c r="B242" s="6">
        <v>46302</v>
      </c>
      <c r="C242" s="7">
        <v>7</v>
      </c>
      <c r="D242" s="8">
        <v>1971.43</v>
      </c>
      <c r="E242" s="8">
        <f t="shared" si="37"/>
        <v>13800.01</v>
      </c>
      <c r="F242" s="9"/>
      <c r="G242" s="8">
        <f t="shared" si="38"/>
        <v>2957.145</v>
      </c>
      <c r="H242" s="8">
        <f t="shared" si="39"/>
        <v>0</v>
      </c>
      <c r="I242" s="9"/>
      <c r="J242" s="8"/>
      <c r="K242" s="8">
        <f t="shared" si="40"/>
        <v>0</v>
      </c>
      <c r="L242" s="8">
        <f t="shared" si="41"/>
        <v>13800.01</v>
      </c>
      <c r="O242" s="10" t="s">
        <v>26</v>
      </c>
      <c r="P242" s="13"/>
      <c r="Q242" s="14"/>
    </row>
    <row r="243" spans="1:17" x14ac:dyDescent="0.25">
      <c r="A243" s="5" t="s">
        <v>12</v>
      </c>
      <c r="B243" s="6">
        <v>46303</v>
      </c>
      <c r="C243" s="7">
        <v>7</v>
      </c>
      <c r="D243" s="8">
        <v>1971.43</v>
      </c>
      <c r="E243" s="8">
        <f t="shared" si="37"/>
        <v>13800.01</v>
      </c>
      <c r="F243" s="9"/>
      <c r="G243" s="8">
        <f t="shared" si="38"/>
        <v>2957.145</v>
      </c>
      <c r="H243" s="8">
        <f t="shared" si="39"/>
        <v>0</v>
      </c>
      <c r="I243" s="9"/>
      <c r="J243" s="8"/>
      <c r="K243" s="8">
        <f t="shared" si="40"/>
        <v>0</v>
      </c>
      <c r="L243" s="8">
        <f t="shared" si="41"/>
        <v>13800.01</v>
      </c>
      <c r="O243" s="17" t="s">
        <v>28</v>
      </c>
      <c r="P243" s="18">
        <f>SUM(P239:P242)</f>
        <v>209877.965</v>
      </c>
      <c r="Q243" s="19">
        <f>+P243</f>
        <v>209877.965</v>
      </c>
    </row>
    <row r="244" spans="1:17" x14ac:dyDescent="0.25">
      <c r="A244" s="5" t="s">
        <v>14</v>
      </c>
      <c r="B244" s="6">
        <v>46304</v>
      </c>
      <c r="C244" s="7">
        <v>7</v>
      </c>
      <c r="D244" s="8">
        <v>1971.43</v>
      </c>
      <c r="E244" s="8">
        <f t="shared" si="37"/>
        <v>13800.01</v>
      </c>
      <c r="F244" s="9"/>
      <c r="G244" s="8">
        <f t="shared" si="38"/>
        <v>2957.145</v>
      </c>
      <c r="H244" s="8">
        <f t="shared" si="39"/>
        <v>0</v>
      </c>
      <c r="I244" s="9"/>
      <c r="J244" s="8"/>
      <c r="K244" s="8">
        <f t="shared" si="40"/>
        <v>0</v>
      </c>
      <c r="L244" s="8">
        <f t="shared" si="41"/>
        <v>13800.01</v>
      </c>
      <c r="O244" s="83" t="s">
        <v>29</v>
      </c>
      <c r="P244" s="84"/>
      <c r="Q244" s="20"/>
    </row>
    <row r="245" spans="1:17" x14ac:dyDescent="0.25">
      <c r="A245" s="5" t="s">
        <v>17</v>
      </c>
      <c r="B245" s="6">
        <v>46305</v>
      </c>
      <c r="C245" s="7">
        <v>7</v>
      </c>
      <c r="D245" s="8">
        <v>1971.43</v>
      </c>
      <c r="E245" s="8">
        <f t="shared" si="37"/>
        <v>13800.01</v>
      </c>
      <c r="F245" s="9"/>
      <c r="G245" s="8">
        <f t="shared" si="38"/>
        <v>2957.145</v>
      </c>
      <c r="H245" s="8">
        <f t="shared" si="39"/>
        <v>0</v>
      </c>
      <c r="I245" s="9"/>
      <c r="J245" s="8"/>
      <c r="K245" s="8">
        <f t="shared" si="40"/>
        <v>0</v>
      </c>
      <c r="L245" s="8">
        <f t="shared" si="41"/>
        <v>13800.01</v>
      </c>
      <c r="O245" s="85" t="str">
        <f>+O19</f>
        <v>CCSS 10.83%</v>
      </c>
      <c r="P245" s="86"/>
      <c r="Q245" s="21">
        <f>+Q19</f>
        <v>22729.783609500002</v>
      </c>
    </row>
    <row r="246" spans="1:17" x14ac:dyDescent="0.25">
      <c r="A246" s="5" t="s">
        <v>20</v>
      </c>
      <c r="B246" s="6">
        <v>46306</v>
      </c>
      <c r="C246" s="7">
        <v>8</v>
      </c>
      <c r="D246" s="8">
        <v>1725</v>
      </c>
      <c r="E246" s="8">
        <f t="shared" si="37"/>
        <v>13800</v>
      </c>
      <c r="F246" s="9"/>
      <c r="G246" s="8">
        <f t="shared" si="38"/>
        <v>2587.5</v>
      </c>
      <c r="H246" s="8">
        <f t="shared" si="39"/>
        <v>0</v>
      </c>
      <c r="I246" s="9"/>
      <c r="J246" s="8"/>
      <c r="K246" s="8">
        <f t="shared" si="40"/>
        <v>0</v>
      </c>
      <c r="L246" s="8">
        <f t="shared" si="41"/>
        <v>13800</v>
      </c>
      <c r="O246" s="85" t="s">
        <v>31</v>
      </c>
      <c r="P246" s="86"/>
      <c r="Q246" s="21"/>
    </row>
    <row r="247" spans="1:17" x14ac:dyDescent="0.25">
      <c r="A247" s="5" t="s">
        <v>22</v>
      </c>
      <c r="B247" s="6">
        <v>46307</v>
      </c>
      <c r="C247" s="7">
        <v>7</v>
      </c>
      <c r="D247" s="8">
        <v>1971.43</v>
      </c>
      <c r="E247" s="8">
        <f t="shared" si="37"/>
        <v>13800.01</v>
      </c>
      <c r="F247" s="9"/>
      <c r="G247" s="8">
        <f t="shared" si="38"/>
        <v>2957.145</v>
      </c>
      <c r="H247" s="8">
        <f t="shared" si="39"/>
        <v>0</v>
      </c>
      <c r="I247" s="9"/>
      <c r="J247" s="8"/>
      <c r="K247" s="8">
        <f t="shared" si="40"/>
        <v>0</v>
      </c>
      <c r="L247" s="8">
        <f t="shared" si="41"/>
        <v>13800.01</v>
      </c>
      <c r="O247" s="85" t="s">
        <v>32</v>
      </c>
      <c r="P247" s="86"/>
      <c r="Q247" s="21"/>
    </row>
    <row r="248" spans="1:17" x14ac:dyDescent="0.25">
      <c r="A248" s="5" t="s">
        <v>24</v>
      </c>
      <c r="B248" s="6">
        <v>46308</v>
      </c>
      <c r="C248" s="7">
        <v>7</v>
      </c>
      <c r="D248" s="8">
        <v>1971.43</v>
      </c>
      <c r="E248" s="8">
        <f t="shared" si="37"/>
        <v>13800.01</v>
      </c>
      <c r="F248" s="9"/>
      <c r="G248" s="8">
        <f t="shared" si="38"/>
        <v>2957.145</v>
      </c>
      <c r="H248" s="8">
        <f t="shared" si="39"/>
        <v>0</v>
      </c>
      <c r="I248" s="9"/>
      <c r="J248" s="8"/>
      <c r="K248" s="8">
        <f t="shared" si="40"/>
        <v>0</v>
      </c>
      <c r="L248" s="8">
        <f t="shared" si="41"/>
        <v>13800.01</v>
      </c>
      <c r="O248" s="85" t="s">
        <v>33</v>
      </c>
      <c r="P248" s="86"/>
      <c r="Q248" s="21"/>
    </row>
    <row r="249" spans="1:17" x14ac:dyDescent="0.25">
      <c r="A249" s="5" t="s">
        <v>25</v>
      </c>
      <c r="B249" s="6">
        <v>46309</v>
      </c>
      <c r="C249" s="7">
        <v>7</v>
      </c>
      <c r="D249" s="8">
        <v>1971.43</v>
      </c>
      <c r="E249" s="8">
        <f t="shared" si="37"/>
        <v>13800.01</v>
      </c>
      <c r="F249" s="9"/>
      <c r="G249" s="8">
        <f t="shared" si="38"/>
        <v>2957.145</v>
      </c>
      <c r="H249" s="8">
        <f t="shared" si="39"/>
        <v>0</v>
      </c>
      <c r="I249" s="9"/>
      <c r="J249" s="8"/>
      <c r="K249" s="8">
        <f t="shared" si="40"/>
        <v>0</v>
      </c>
      <c r="L249" s="8">
        <f t="shared" si="41"/>
        <v>13800.01</v>
      </c>
      <c r="O249" s="85" t="s">
        <v>34</v>
      </c>
      <c r="P249" s="86"/>
      <c r="Q249" s="21">
        <f>SUM(Q245:Q248)</f>
        <v>22729.783609500002</v>
      </c>
    </row>
    <row r="250" spans="1:17" x14ac:dyDescent="0.25">
      <c r="A250" s="5" t="s">
        <v>12</v>
      </c>
      <c r="B250" s="6">
        <v>46310</v>
      </c>
      <c r="C250" s="7">
        <v>7</v>
      </c>
      <c r="D250" s="8">
        <v>1971.43</v>
      </c>
      <c r="E250" s="8">
        <f t="shared" si="37"/>
        <v>13800.01</v>
      </c>
      <c r="F250" s="9"/>
      <c r="G250" s="8">
        <f t="shared" si="38"/>
        <v>2957.145</v>
      </c>
      <c r="H250" s="8">
        <f t="shared" si="39"/>
        <v>0</v>
      </c>
      <c r="I250" s="9"/>
      <c r="J250" s="8"/>
      <c r="K250" s="8">
        <f t="shared" si="40"/>
        <v>0</v>
      </c>
      <c r="L250" s="8">
        <f t="shared" si="41"/>
        <v>13800.01</v>
      </c>
      <c r="O250" s="95"/>
      <c r="P250" s="96"/>
      <c r="Q250" s="14"/>
    </row>
    <row r="251" spans="1:17" ht="16.5" x14ac:dyDescent="0.35">
      <c r="A251" s="5"/>
      <c r="B251" s="6"/>
      <c r="C251" s="7"/>
      <c r="D251" s="8"/>
      <c r="E251" s="8"/>
      <c r="F251" s="9"/>
      <c r="G251" s="8"/>
      <c r="H251" s="8"/>
      <c r="I251" s="9"/>
      <c r="J251" s="8"/>
      <c r="K251" s="8"/>
      <c r="L251" s="8"/>
      <c r="O251" s="85" t="s">
        <v>35</v>
      </c>
      <c r="P251" s="86"/>
      <c r="Q251" s="22">
        <f>Q243-Q249</f>
        <v>187148.18139049999</v>
      </c>
    </row>
    <row r="252" spans="1:17" ht="16.5" x14ac:dyDescent="0.35">
      <c r="B252" s="37"/>
      <c r="C252" s="37"/>
      <c r="D252" s="37"/>
      <c r="E252" s="27"/>
      <c r="F252" s="25"/>
      <c r="G252" s="25"/>
      <c r="H252" s="8"/>
      <c r="I252" s="25"/>
      <c r="J252" s="25"/>
      <c r="K252" s="25"/>
      <c r="L252" s="26"/>
    </row>
    <row r="253" spans="1:17" ht="16.5" x14ac:dyDescent="0.35">
      <c r="B253" s="97"/>
      <c r="C253" s="98"/>
      <c r="D253" s="99"/>
      <c r="E253" s="27"/>
      <c r="F253" s="25"/>
      <c r="G253" s="25"/>
      <c r="H253" s="8"/>
      <c r="I253" s="25"/>
      <c r="J253" s="25"/>
      <c r="K253" s="25"/>
      <c r="L253" s="26"/>
      <c r="O253" s="100" t="s">
        <v>36</v>
      </c>
      <c r="P253" s="100"/>
      <c r="Q253" s="100"/>
    </row>
    <row r="254" spans="1:17" ht="16.5" x14ac:dyDescent="0.35">
      <c r="B254" s="105"/>
      <c r="C254" s="106"/>
      <c r="D254" s="107"/>
      <c r="E254" s="39"/>
      <c r="F254" s="25"/>
      <c r="G254" s="25"/>
      <c r="H254" s="24">
        <f>SUM(H236:H252)</f>
        <v>0</v>
      </c>
      <c r="I254" s="25"/>
      <c r="J254" s="25"/>
      <c r="K254" s="24">
        <f>SUM(K236:K252)</f>
        <v>0</v>
      </c>
      <c r="L254" s="28">
        <f>SUM(H254:K254)</f>
        <v>0</v>
      </c>
      <c r="O254" s="101" t="s">
        <v>37</v>
      </c>
      <c r="P254" s="101"/>
      <c r="Q254" s="101"/>
    </row>
    <row r="255" spans="1:17" ht="16.5" x14ac:dyDescent="0.35">
      <c r="B255" s="1"/>
      <c r="C255" s="1"/>
      <c r="D255" s="1"/>
      <c r="E255" s="40"/>
      <c r="F255" s="1"/>
      <c r="G255" s="1"/>
      <c r="H255" s="41"/>
      <c r="I255" s="48"/>
      <c r="J255" s="30"/>
      <c r="K255" s="49"/>
      <c r="L255" s="31"/>
    </row>
    <row r="256" spans="1:17" ht="16.5" x14ac:dyDescent="0.35">
      <c r="B256" s="1"/>
      <c r="C256" s="1"/>
      <c r="D256" s="1"/>
      <c r="E256" s="40"/>
      <c r="F256" s="1"/>
      <c r="G256" s="1"/>
      <c r="H256" s="41"/>
      <c r="I256" s="1"/>
      <c r="J256" s="30"/>
      <c r="K256" s="30"/>
      <c r="L256" s="31"/>
    </row>
    <row r="257" spans="1:17" x14ac:dyDescent="0.25">
      <c r="B257" s="1"/>
      <c r="C257" s="1"/>
      <c r="D257" s="1"/>
      <c r="E257" s="40"/>
      <c r="F257" s="1"/>
      <c r="G257" s="1"/>
      <c r="H257" s="41"/>
      <c r="I257" s="1"/>
      <c r="J257" s="30"/>
      <c r="K257" s="30"/>
      <c r="L257" s="32"/>
    </row>
    <row r="258" spans="1:17" x14ac:dyDescent="0.25">
      <c r="B258" s="1"/>
      <c r="C258" s="1"/>
      <c r="D258" s="1"/>
      <c r="E258" s="42" t="s">
        <v>62</v>
      </c>
      <c r="F258" s="43"/>
      <c r="G258" s="43"/>
      <c r="H258" s="41"/>
      <c r="I258" s="1"/>
      <c r="J258" s="30"/>
      <c r="K258" s="30"/>
      <c r="L258" s="32"/>
    </row>
    <row r="259" spans="1:17" x14ac:dyDescent="0.25">
      <c r="B259" s="1"/>
      <c r="C259" s="1"/>
      <c r="D259" s="1"/>
      <c r="E259" s="42"/>
      <c r="F259" s="43"/>
      <c r="G259" s="43"/>
      <c r="H259" s="41"/>
      <c r="I259" s="1"/>
      <c r="J259" s="30"/>
      <c r="K259" s="30"/>
      <c r="L259" s="32"/>
    </row>
    <row r="260" spans="1:17" x14ac:dyDescent="0.25">
      <c r="B260" s="1"/>
      <c r="C260" s="1"/>
      <c r="D260" s="1"/>
      <c r="E260" s="42"/>
      <c r="F260" s="43"/>
      <c r="G260" s="43"/>
      <c r="H260" s="41"/>
      <c r="I260" s="1"/>
      <c r="J260" s="30"/>
      <c r="K260" s="30"/>
      <c r="L260" s="32"/>
    </row>
    <row r="261" spans="1:17" x14ac:dyDescent="0.25">
      <c r="B261" s="94" t="s">
        <v>63</v>
      </c>
      <c r="C261" s="94"/>
      <c r="D261" s="94"/>
      <c r="E261" s="94"/>
      <c r="F261" s="94"/>
      <c r="G261" s="94"/>
      <c r="H261" s="94"/>
      <c r="I261" s="94"/>
      <c r="J261" s="94"/>
      <c r="K261" s="94"/>
      <c r="L261" s="94"/>
    </row>
    <row r="262" spans="1:17" x14ac:dyDescent="0.25"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</row>
    <row r="263" spans="1:17" x14ac:dyDescent="0.25">
      <c r="B263" s="87" t="s">
        <v>0</v>
      </c>
      <c r="C263" s="87"/>
      <c r="D263" s="87"/>
      <c r="E263" s="87"/>
      <c r="F263" s="87"/>
      <c r="G263" s="87"/>
      <c r="H263" s="87"/>
      <c r="I263" s="87"/>
      <c r="J263" s="87"/>
      <c r="K263" s="87"/>
      <c r="L263" s="87"/>
    </row>
    <row r="264" spans="1:17" x14ac:dyDescent="0.25">
      <c r="B264" s="87" t="s">
        <v>1</v>
      </c>
      <c r="C264" s="87"/>
      <c r="D264" s="87"/>
      <c r="E264" s="87"/>
      <c r="F264" s="87"/>
      <c r="G264" s="87"/>
      <c r="H264" s="87"/>
      <c r="I264" s="87"/>
      <c r="J264" s="87"/>
      <c r="K264" s="87"/>
      <c r="L264" s="87"/>
    </row>
    <row r="265" spans="1:17" x14ac:dyDescent="0.25"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</row>
    <row r="266" spans="1:17" ht="23.25" x14ac:dyDescent="0.25">
      <c r="B266" s="25" t="s">
        <v>3</v>
      </c>
      <c r="C266" s="4" t="s">
        <v>4</v>
      </c>
      <c r="D266" s="4" t="s">
        <v>5</v>
      </c>
      <c r="E266" s="4" t="s">
        <v>6</v>
      </c>
      <c r="F266" s="4" t="s">
        <v>7</v>
      </c>
      <c r="G266" s="4" t="s">
        <v>8</v>
      </c>
      <c r="H266" s="4" t="s">
        <v>6</v>
      </c>
      <c r="I266" s="4" t="s">
        <v>9</v>
      </c>
      <c r="J266" s="4" t="s">
        <v>10</v>
      </c>
      <c r="K266" s="4" t="s">
        <v>6</v>
      </c>
      <c r="L266" s="4" t="s">
        <v>11</v>
      </c>
      <c r="O266" s="89" t="s">
        <v>0</v>
      </c>
      <c r="P266" s="90"/>
      <c r="Q266" s="91"/>
    </row>
    <row r="267" spans="1:17" x14ac:dyDescent="0.25">
      <c r="A267" s="5" t="s">
        <v>12</v>
      </c>
      <c r="B267" s="6">
        <v>46296</v>
      </c>
      <c r="C267" s="7">
        <v>6</v>
      </c>
      <c r="D267" s="8">
        <v>2300</v>
      </c>
      <c r="E267" s="8">
        <f t="shared" ref="E267:E280" si="42">+C267*D267</f>
        <v>13800</v>
      </c>
      <c r="F267" s="9">
        <v>1</v>
      </c>
      <c r="G267" s="8">
        <v>4300</v>
      </c>
      <c r="H267" s="8">
        <f>+F267*G267</f>
        <v>4300</v>
      </c>
      <c r="I267" s="9">
        <v>6</v>
      </c>
      <c r="J267" s="8">
        <v>2300</v>
      </c>
      <c r="K267" s="8">
        <f>+I267*J267</f>
        <v>13800</v>
      </c>
      <c r="L267" s="8">
        <f>+E267+H267+K267</f>
        <v>31900</v>
      </c>
      <c r="O267" s="89" t="s">
        <v>13</v>
      </c>
      <c r="P267" s="90"/>
      <c r="Q267" s="91"/>
    </row>
    <row r="268" spans="1:17" x14ac:dyDescent="0.25">
      <c r="A268" s="5" t="s">
        <v>14</v>
      </c>
      <c r="B268" s="6">
        <v>46297</v>
      </c>
      <c r="C268" s="7">
        <v>6</v>
      </c>
      <c r="D268" s="8">
        <v>2300</v>
      </c>
      <c r="E268" s="8">
        <f t="shared" si="42"/>
        <v>13800</v>
      </c>
      <c r="F268" s="9">
        <v>1</v>
      </c>
      <c r="G268" s="8">
        <f t="shared" ref="G268:G280" si="43">+D268*1.5</f>
        <v>3450</v>
      </c>
      <c r="H268" s="8">
        <f t="shared" ref="H268:H280" si="44">+F268*G268</f>
        <v>3450</v>
      </c>
      <c r="I268" s="9"/>
      <c r="J268" s="8"/>
      <c r="K268" s="8">
        <f t="shared" ref="K268:K280" si="45">+I268*J268</f>
        <v>0</v>
      </c>
      <c r="L268" s="8">
        <f t="shared" ref="L268:L280" si="46">+E268+H268+K268</f>
        <v>17250</v>
      </c>
      <c r="O268" s="10" t="s">
        <v>15</v>
      </c>
      <c r="P268" s="92" t="s">
        <v>64</v>
      </c>
      <c r="Q268" s="93"/>
    </row>
    <row r="269" spans="1:17" x14ac:dyDescent="0.25">
      <c r="A269" s="5" t="s">
        <v>17</v>
      </c>
      <c r="B269" s="6">
        <v>46298</v>
      </c>
      <c r="C269" s="7">
        <v>6</v>
      </c>
      <c r="D269" s="8">
        <v>1971.43</v>
      </c>
      <c r="E269" s="8">
        <f t="shared" si="42"/>
        <v>11828.58</v>
      </c>
      <c r="F269" s="9">
        <v>3</v>
      </c>
      <c r="G269" s="8">
        <f t="shared" si="43"/>
        <v>2957.145</v>
      </c>
      <c r="H269" s="8">
        <f t="shared" si="44"/>
        <v>8871.4349999999995</v>
      </c>
      <c r="I269" s="9"/>
      <c r="J269" s="8"/>
      <c r="K269" s="8">
        <f t="shared" si="45"/>
        <v>0</v>
      </c>
      <c r="L269" s="8">
        <f t="shared" si="46"/>
        <v>20700.014999999999</v>
      </c>
      <c r="O269" s="10" t="str">
        <f>+O12</f>
        <v>FECHA:         15/10/2026</v>
      </c>
      <c r="P269" s="11" t="s">
        <v>19</v>
      </c>
      <c r="Q269" s="12">
        <f>+Q12</f>
        <v>419755.93</v>
      </c>
    </row>
    <row r="270" spans="1:17" x14ac:dyDescent="0.25">
      <c r="A270" s="5" t="s">
        <v>20</v>
      </c>
      <c r="B270" s="6">
        <v>46299</v>
      </c>
      <c r="C270" s="7"/>
      <c r="D270" s="8">
        <v>1971.43</v>
      </c>
      <c r="E270" s="8">
        <f t="shared" si="42"/>
        <v>0</v>
      </c>
      <c r="F270" s="9"/>
      <c r="G270" s="8">
        <f t="shared" si="43"/>
        <v>2957.145</v>
      </c>
      <c r="H270" s="8">
        <f t="shared" si="44"/>
        <v>0</v>
      </c>
      <c r="I270" s="9"/>
      <c r="J270" s="8"/>
      <c r="K270" s="8">
        <f t="shared" si="45"/>
        <v>0</v>
      </c>
      <c r="L270" s="8">
        <f t="shared" si="46"/>
        <v>0</v>
      </c>
      <c r="M270" t="s">
        <v>52</v>
      </c>
      <c r="O270" s="10" t="s">
        <v>21</v>
      </c>
      <c r="P270" s="13">
        <f>+Q269/2</f>
        <v>209877.965</v>
      </c>
      <c r="Q270" s="14"/>
    </row>
    <row r="271" spans="1:17" x14ac:dyDescent="0.25">
      <c r="A271" s="5" t="s">
        <v>22</v>
      </c>
      <c r="B271" s="6">
        <v>46300</v>
      </c>
      <c r="C271" s="7">
        <v>7</v>
      </c>
      <c r="D271" s="8">
        <v>1971.43</v>
      </c>
      <c r="E271" s="8">
        <f t="shared" si="42"/>
        <v>13800.01</v>
      </c>
      <c r="F271" s="9"/>
      <c r="G271" s="8">
        <f t="shared" si="43"/>
        <v>2957.145</v>
      </c>
      <c r="H271" s="8">
        <f t="shared" si="44"/>
        <v>0</v>
      </c>
      <c r="I271" s="9"/>
      <c r="J271" s="8"/>
      <c r="K271" s="8">
        <f t="shared" si="45"/>
        <v>0</v>
      </c>
      <c r="L271" s="8">
        <f t="shared" si="46"/>
        <v>13800.01</v>
      </c>
      <c r="O271" s="10" t="s">
        <v>23</v>
      </c>
      <c r="P271" s="13">
        <f>+H285</f>
        <v>35021.434999999998</v>
      </c>
      <c r="Q271" s="14"/>
    </row>
    <row r="272" spans="1:17" x14ac:dyDescent="0.25">
      <c r="A272" s="5" t="s">
        <v>24</v>
      </c>
      <c r="B272" s="6">
        <v>46301</v>
      </c>
      <c r="C272" s="7">
        <v>7</v>
      </c>
      <c r="D272" s="8">
        <v>1971.43</v>
      </c>
      <c r="E272" s="8">
        <f t="shared" si="42"/>
        <v>13800.01</v>
      </c>
      <c r="F272" s="9"/>
      <c r="G272" s="8">
        <f t="shared" si="43"/>
        <v>2957.145</v>
      </c>
      <c r="H272" s="8">
        <f t="shared" si="44"/>
        <v>0</v>
      </c>
      <c r="I272" s="9"/>
      <c r="J272" s="8"/>
      <c r="K272" s="8">
        <f t="shared" si="45"/>
        <v>0</v>
      </c>
      <c r="L272" s="8">
        <f t="shared" si="46"/>
        <v>13800.01</v>
      </c>
      <c r="O272" s="10" t="s">
        <v>9</v>
      </c>
      <c r="P272" s="13">
        <f>+K285</f>
        <v>27600</v>
      </c>
      <c r="Q272" s="14"/>
    </row>
    <row r="273" spans="1:17" x14ac:dyDescent="0.25">
      <c r="A273" s="5" t="s">
        <v>25</v>
      </c>
      <c r="B273" s="6">
        <v>46302</v>
      </c>
      <c r="C273" s="7">
        <v>7</v>
      </c>
      <c r="D273" s="8">
        <v>1971.43</v>
      </c>
      <c r="E273" s="8">
        <f t="shared" si="42"/>
        <v>13800.01</v>
      </c>
      <c r="F273" s="9"/>
      <c r="G273" s="8">
        <f t="shared" si="43"/>
        <v>2957.145</v>
      </c>
      <c r="H273" s="8">
        <f t="shared" si="44"/>
        <v>0</v>
      </c>
      <c r="I273" s="9"/>
      <c r="J273" s="8"/>
      <c r="K273" s="8">
        <f t="shared" si="45"/>
        <v>0</v>
      </c>
      <c r="L273" s="8">
        <f t="shared" si="46"/>
        <v>13800.01</v>
      </c>
      <c r="O273" s="10" t="s">
        <v>26</v>
      </c>
      <c r="P273" s="13"/>
      <c r="Q273" s="14"/>
    </row>
    <row r="274" spans="1:17" x14ac:dyDescent="0.25">
      <c r="A274" s="5" t="s">
        <v>12</v>
      </c>
      <c r="B274" s="6">
        <v>46303</v>
      </c>
      <c r="C274" s="7">
        <v>7</v>
      </c>
      <c r="D274" s="8">
        <v>1971.43</v>
      </c>
      <c r="E274" s="8">
        <f t="shared" si="42"/>
        <v>13800.01</v>
      </c>
      <c r="F274" s="9"/>
      <c r="G274" s="8">
        <f t="shared" si="43"/>
        <v>2957.145</v>
      </c>
      <c r="H274" s="8">
        <f t="shared" si="44"/>
        <v>0</v>
      </c>
      <c r="I274" s="9"/>
      <c r="J274" s="8"/>
      <c r="K274" s="8">
        <f t="shared" si="45"/>
        <v>0</v>
      </c>
      <c r="L274" s="8">
        <f t="shared" si="46"/>
        <v>13800.01</v>
      </c>
      <c r="O274" s="17" t="s">
        <v>28</v>
      </c>
      <c r="P274" s="18">
        <f>SUM(P270:P273)</f>
        <v>272499.40000000002</v>
      </c>
      <c r="Q274" s="19">
        <f>+P274</f>
        <v>272499.40000000002</v>
      </c>
    </row>
    <row r="275" spans="1:17" x14ac:dyDescent="0.25">
      <c r="A275" s="36" t="s">
        <v>14</v>
      </c>
      <c r="B275" s="6">
        <v>46304</v>
      </c>
      <c r="C275" s="7">
        <v>7</v>
      </c>
      <c r="D275" s="8">
        <v>1971.43</v>
      </c>
      <c r="E275" s="8">
        <f t="shared" si="42"/>
        <v>13800.01</v>
      </c>
      <c r="F275" s="9"/>
      <c r="G275" s="8">
        <f t="shared" si="43"/>
        <v>2957.145</v>
      </c>
      <c r="H275" s="8">
        <f t="shared" si="44"/>
        <v>0</v>
      </c>
      <c r="I275" s="9"/>
      <c r="J275" s="8"/>
      <c r="K275" s="8">
        <f t="shared" si="45"/>
        <v>0</v>
      </c>
      <c r="L275" s="8">
        <f t="shared" si="46"/>
        <v>13800.01</v>
      </c>
      <c r="O275" s="83" t="s">
        <v>29</v>
      </c>
      <c r="P275" s="84"/>
      <c r="Q275" s="20"/>
    </row>
    <row r="276" spans="1:17" x14ac:dyDescent="0.25">
      <c r="A276" s="5" t="s">
        <v>17</v>
      </c>
      <c r="B276" s="6">
        <v>46305</v>
      </c>
      <c r="C276" s="7">
        <v>7</v>
      </c>
      <c r="D276" s="8">
        <v>2300</v>
      </c>
      <c r="E276" s="8">
        <f t="shared" si="42"/>
        <v>16100</v>
      </c>
      <c r="F276" s="9"/>
      <c r="G276" s="8">
        <f t="shared" si="43"/>
        <v>3450</v>
      </c>
      <c r="H276" s="8">
        <f t="shared" si="44"/>
        <v>0</v>
      </c>
      <c r="I276" s="9"/>
      <c r="J276" s="8"/>
      <c r="K276" s="8">
        <f t="shared" si="45"/>
        <v>0</v>
      </c>
      <c r="L276" s="8">
        <f t="shared" si="46"/>
        <v>16100</v>
      </c>
      <c r="O276" s="85" t="str">
        <f>+O19</f>
        <v>CCSS 10.83%</v>
      </c>
      <c r="P276" s="86"/>
      <c r="Q276" s="21">
        <f>+Q19</f>
        <v>22729.783609500002</v>
      </c>
    </row>
    <row r="277" spans="1:17" x14ac:dyDescent="0.25">
      <c r="A277" s="5" t="s">
        <v>20</v>
      </c>
      <c r="B277" s="6">
        <v>46306</v>
      </c>
      <c r="C277" s="7">
        <v>6</v>
      </c>
      <c r="D277" s="8">
        <v>2300</v>
      </c>
      <c r="E277" s="8">
        <f t="shared" si="42"/>
        <v>13800</v>
      </c>
      <c r="F277" s="9">
        <v>1</v>
      </c>
      <c r="G277" s="8">
        <f t="shared" si="43"/>
        <v>3450</v>
      </c>
      <c r="H277" s="8">
        <f t="shared" si="44"/>
        <v>3450</v>
      </c>
      <c r="I277" s="9"/>
      <c r="J277" s="8"/>
      <c r="K277" s="8">
        <f t="shared" si="45"/>
        <v>0</v>
      </c>
      <c r="L277" s="8">
        <f t="shared" si="46"/>
        <v>17250</v>
      </c>
      <c r="O277" s="85" t="s">
        <v>31</v>
      </c>
      <c r="P277" s="86"/>
      <c r="Q277" s="21">
        <v>4836</v>
      </c>
    </row>
    <row r="278" spans="1:17" x14ac:dyDescent="0.25">
      <c r="A278" s="5" t="s">
        <v>22</v>
      </c>
      <c r="B278" s="6">
        <v>46307</v>
      </c>
      <c r="C278" s="7">
        <v>6</v>
      </c>
      <c r="D278" s="8">
        <v>2300</v>
      </c>
      <c r="E278" s="8">
        <f t="shared" si="42"/>
        <v>13800</v>
      </c>
      <c r="F278" s="9">
        <v>1</v>
      </c>
      <c r="G278" s="8">
        <f t="shared" si="43"/>
        <v>3450</v>
      </c>
      <c r="H278" s="8">
        <f t="shared" si="44"/>
        <v>3450</v>
      </c>
      <c r="I278" s="9"/>
      <c r="J278" s="8"/>
      <c r="K278" s="8">
        <f t="shared" si="45"/>
        <v>0</v>
      </c>
      <c r="L278" s="8">
        <f t="shared" si="46"/>
        <v>17250</v>
      </c>
      <c r="O278" s="85" t="s">
        <v>32</v>
      </c>
      <c r="P278" s="86"/>
      <c r="Q278" s="21"/>
    </row>
    <row r="279" spans="1:17" x14ac:dyDescent="0.25">
      <c r="A279" s="5" t="s">
        <v>24</v>
      </c>
      <c r="B279" s="6">
        <v>46308</v>
      </c>
      <c r="C279" s="7">
        <v>6</v>
      </c>
      <c r="D279" s="8">
        <v>2300</v>
      </c>
      <c r="E279" s="8">
        <f t="shared" si="42"/>
        <v>13800</v>
      </c>
      <c r="F279" s="9">
        <v>1</v>
      </c>
      <c r="G279" s="8">
        <f t="shared" si="43"/>
        <v>3450</v>
      </c>
      <c r="H279" s="8">
        <f t="shared" si="44"/>
        <v>3450</v>
      </c>
      <c r="I279" s="9"/>
      <c r="J279" s="8"/>
      <c r="K279" s="8">
        <f t="shared" si="45"/>
        <v>0</v>
      </c>
      <c r="L279" s="8">
        <f t="shared" si="46"/>
        <v>17250</v>
      </c>
      <c r="O279" s="85" t="s">
        <v>33</v>
      </c>
      <c r="P279" s="86"/>
      <c r="Q279" s="21">
        <v>13800</v>
      </c>
    </row>
    <row r="280" spans="1:17" x14ac:dyDescent="0.25">
      <c r="A280" s="5" t="s">
        <v>25</v>
      </c>
      <c r="B280" s="6">
        <v>46309</v>
      </c>
      <c r="C280" s="7">
        <v>6</v>
      </c>
      <c r="D280" s="8">
        <v>2300</v>
      </c>
      <c r="E280" s="8">
        <f t="shared" si="42"/>
        <v>13800</v>
      </c>
      <c r="F280" s="9">
        <v>1</v>
      </c>
      <c r="G280" s="8">
        <f t="shared" si="43"/>
        <v>3450</v>
      </c>
      <c r="H280" s="8">
        <f t="shared" si="44"/>
        <v>3450</v>
      </c>
      <c r="I280" s="9"/>
      <c r="J280" s="8"/>
      <c r="K280" s="8">
        <f t="shared" si="45"/>
        <v>0</v>
      </c>
      <c r="L280" s="8">
        <f t="shared" si="46"/>
        <v>17250</v>
      </c>
      <c r="O280" s="85" t="s">
        <v>34</v>
      </c>
      <c r="P280" s="86"/>
      <c r="Q280" s="21">
        <f>SUM(Q276:Q279)</f>
        <v>41365.783609500002</v>
      </c>
    </row>
    <row r="281" spans="1:17" x14ac:dyDescent="0.25">
      <c r="A281" s="5" t="s">
        <v>12</v>
      </c>
      <c r="B281" s="6">
        <v>46310</v>
      </c>
      <c r="C281" s="7">
        <v>6</v>
      </c>
      <c r="D281" s="8">
        <v>2300</v>
      </c>
      <c r="E281" s="8">
        <f>+C281*D281</f>
        <v>13800</v>
      </c>
      <c r="F281" s="9">
        <v>1</v>
      </c>
      <c r="G281" s="8">
        <v>4600</v>
      </c>
      <c r="H281" s="8">
        <f>+F281*G281</f>
        <v>4600</v>
      </c>
      <c r="I281" s="9">
        <v>6</v>
      </c>
      <c r="J281" s="8">
        <v>2300</v>
      </c>
      <c r="K281" s="8">
        <f>+I281*J281</f>
        <v>13800</v>
      </c>
      <c r="L281" s="8">
        <f>+E281+H281+K281</f>
        <v>32200</v>
      </c>
      <c r="O281" s="95"/>
      <c r="P281" s="96"/>
      <c r="Q281" s="14"/>
    </row>
    <row r="282" spans="1:17" ht="16.5" x14ac:dyDescent="0.35">
      <c r="A282" s="5"/>
      <c r="B282" s="6"/>
      <c r="C282" s="7"/>
      <c r="D282" s="8"/>
      <c r="E282" s="8"/>
      <c r="F282" s="9"/>
      <c r="G282" s="8"/>
      <c r="H282" s="8"/>
      <c r="I282" s="9"/>
      <c r="J282" s="8"/>
      <c r="K282" s="8"/>
      <c r="L282" s="8"/>
      <c r="O282" s="85" t="s">
        <v>35</v>
      </c>
      <c r="P282" s="86"/>
      <c r="Q282" s="22">
        <f>Q274-Q280</f>
        <v>231133.61639050001</v>
      </c>
    </row>
    <row r="283" spans="1:17" ht="16.5" x14ac:dyDescent="0.35">
      <c r="B283" s="37"/>
      <c r="C283" s="37"/>
      <c r="D283" s="37"/>
      <c r="E283" s="27"/>
      <c r="F283" s="25"/>
      <c r="G283" s="25"/>
      <c r="H283" s="8"/>
      <c r="I283" s="25"/>
      <c r="J283" s="25"/>
      <c r="K283" s="25"/>
      <c r="L283" s="26"/>
    </row>
    <row r="284" spans="1:17" ht="16.5" x14ac:dyDescent="0.35">
      <c r="B284" s="97"/>
      <c r="C284" s="98"/>
      <c r="D284" s="99"/>
      <c r="E284" s="27"/>
      <c r="F284" s="25"/>
      <c r="G284" s="25"/>
      <c r="H284" s="8"/>
      <c r="I284" s="25"/>
      <c r="J284" s="25"/>
      <c r="K284" s="25"/>
      <c r="L284" s="26"/>
      <c r="O284" s="100" t="s">
        <v>36</v>
      </c>
      <c r="P284" s="100"/>
      <c r="Q284" s="100"/>
    </row>
    <row r="285" spans="1:17" ht="16.5" x14ac:dyDescent="0.35">
      <c r="B285" s="105"/>
      <c r="C285" s="106"/>
      <c r="D285" s="107"/>
      <c r="E285" s="39"/>
      <c r="F285" s="25"/>
      <c r="G285" s="25"/>
      <c r="H285" s="24">
        <f>SUM(H267:H283)</f>
        <v>35021.434999999998</v>
      </c>
      <c r="I285" s="25"/>
      <c r="J285" s="25"/>
      <c r="K285" s="24">
        <f>SUM(K267:K283)</f>
        <v>27600</v>
      </c>
      <c r="L285" s="28">
        <f>SUM(H285:K285)</f>
        <v>62621.434999999998</v>
      </c>
      <c r="O285" s="101" t="s">
        <v>37</v>
      </c>
      <c r="P285" s="101"/>
      <c r="Q285" s="101"/>
    </row>
    <row r="286" spans="1:17" ht="16.5" x14ac:dyDescent="0.35">
      <c r="B286" s="1"/>
      <c r="C286" s="1"/>
      <c r="D286" s="1"/>
      <c r="E286" s="40"/>
      <c r="F286" s="1"/>
      <c r="G286" s="1"/>
      <c r="H286" s="41"/>
      <c r="I286" s="48"/>
      <c r="J286" s="30"/>
      <c r="K286" s="49"/>
      <c r="L286" s="31"/>
    </row>
    <row r="287" spans="1:17" ht="16.5" x14ac:dyDescent="0.35">
      <c r="B287" s="1"/>
      <c r="C287" s="1"/>
      <c r="D287" s="1" t="s">
        <v>42</v>
      </c>
      <c r="E287" s="40"/>
      <c r="F287" s="1"/>
      <c r="G287" s="1"/>
      <c r="H287" s="41"/>
      <c r="I287" s="1"/>
      <c r="J287" s="30"/>
      <c r="K287" s="30"/>
      <c r="L287" s="50"/>
    </row>
    <row r="288" spans="1:17" ht="16.5" x14ac:dyDescent="0.35">
      <c r="B288" s="1"/>
      <c r="C288" s="1"/>
      <c r="D288" s="1"/>
      <c r="E288" s="40"/>
      <c r="F288" s="1"/>
      <c r="G288" s="1"/>
      <c r="H288" s="41"/>
      <c r="I288" s="1"/>
      <c r="J288" s="30"/>
      <c r="K288" s="30"/>
      <c r="L288" s="50"/>
    </row>
    <row r="289" spans="1:17" ht="16.5" x14ac:dyDescent="0.35">
      <c r="B289" s="1"/>
      <c r="C289" s="1"/>
      <c r="D289" s="1"/>
      <c r="E289" s="42" t="s">
        <v>62</v>
      </c>
      <c r="F289" s="43"/>
      <c r="G289" s="43"/>
      <c r="H289" s="41"/>
      <c r="I289" s="1"/>
      <c r="J289" s="30"/>
      <c r="K289" s="30"/>
      <c r="L289" s="50"/>
    </row>
    <row r="290" spans="1:17" ht="16.5" x14ac:dyDescent="0.35">
      <c r="B290" s="1"/>
      <c r="C290" s="1"/>
      <c r="D290" s="1"/>
      <c r="E290" s="42"/>
      <c r="F290" s="43"/>
      <c r="G290" s="43"/>
      <c r="H290" s="41"/>
      <c r="I290" s="1"/>
      <c r="J290" s="30"/>
      <c r="K290" s="30"/>
      <c r="L290" s="50"/>
    </row>
    <row r="291" spans="1:17" ht="16.5" x14ac:dyDescent="0.35">
      <c r="B291" s="1"/>
      <c r="C291" s="1"/>
      <c r="D291" s="1"/>
      <c r="E291" s="42"/>
      <c r="F291" s="43"/>
      <c r="G291" s="43"/>
      <c r="H291" s="41"/>
      <c r="I291" s="1"/>
      <c r="J291" s="30"/>
      <c r="K291" s="30"/>
      <c r="L291" s="50"/>
    </row>
    <row r="292" spans="1:17" ht="16.5" x14ac:dyDescent="0.35">
      <c r="B292" s="1"/>
      <c r="C292" s="1"/>
      <c r="D292" s="1"/>
      <c r="E292" s="42"/>
      <c r="F292" s="43"/>
      <c r="G292" s="43"/>
      <c r="H292" s="41"/>
      <c r="I292" s="1"/>
      <c r="J292" s="30"/>
      <c r="K292" s="30"/>
      <c r="L292" s="50"/>
    </row>
    <row r="293" spans="1:17" x14ac:dyDescent="0.25">
      <c r="B293" s="94" t="s">
        <v>65</v>
      </c>
      <c r="C293" s="94"/>
      <c r="D293" s="94"/>
      <c r="E293" s="94"/>
      <c r="F293" s="94"/>
      <c r="G293" s="94"/>
      <c r="H293" s="94"/>
      <c r="I293" s="94"/>
      <c r="J293" s="94"/>
      <c r="K293" s="94"/>
      <c r="L293" s="94"/>
    </row>
    <row r="294" spans="1:17" x14ac:dyDescent="0.25">
      <c r="B294" s="87" t="s">
        <v>0</v>
      </c>
      <c r="C294" s="87"/>
      <c r="D294" s="87"/>
      <c r="E294" s="87"/>
      <c r="F294" s="87"/>
      <c r="G294" s="87"/>
      <c r="H294" s="87"/>
      <c r="I294" s="87"/>
      <c r="J294" s="87"/>
      <c r="K294" s="87"/>
      <c r="L294" s="87"/>
    </row>
    <row r="295" spans="1:17" x14ac:dyDescent="0.25">
      <c r="B295" s="87" t="s">
        <v>1</v>
      </c>
      <c r="C295" s="87"/>
      <c r="D295" s="87"/>
      <c r="E295" s="87"/>
      <c r="F295" s="87"/>
      <c r="G295" s="87"/>
      <c r="H295" s="87"/>
      <c r="I295" s="87"/>
      <c r="J295" s="87"/>
      <c r="K295" s="87"/>
      <c r="L295" s="87"/>
    </row>
    <row r="296" spans="1:17" x14ac:dyDescent="0.25"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</row>
    <row r="297" spans="1:17" ht="23.25" x14ac:dyDescent="0.25">
      <c r="B297" s="25" t="s">
        <v>3</v>
      </c>
      <c r="C297" s="4" t="s">
        <v>4</v>
      </c>
      <c r="D297" s="4" t="s">
        <v>5</v>
      </c>
      <c r="E297" s="4" t="s">
        <v>6</v>
      </c>
      <c r="F297" s="4" t="s">
        <v>7</v>
      </c>
      <c r="G297" s="4" t="s">
        <v>8</v>
      </c>
      <c r="H297" s="4" t="s">
        <v>6</v>
      </c>
      <c r="I297" s="4" t="s">
        <v>9</v>
      </c>
      <c r="J297" s="4" t="s">
        <v>10</v>
      </c>
      <c r="K297" s="4" t="s">
        <v>6</v>
      </c>
      <c r="L297" s="4" t="s">
        <v>11</v>
      </c>
      <c r="O297" s="89" t="s">
        <v>0</v>
      </c>
      <c r="P297" s="90"/>
      <c r="Q297" s="91"/>
    </row>
    <row r="298" spans="1:17" x14ac:dyDescent="0.25">
      <c r="A298" s="5" t="s">
        <v>12</v>
      </c>
      <c r="B298" s="6">
        <v>46296</v>
      </c>
      <c r="C298" s="7">
        <v>8</v>
      </c>
      <c r="D298" s="8">
        <v>1725</v>
      </c>
      <c r="E298" s="8">
        <f t="shared" ref="E298:E312" si="47">+C298*D298</f>
        <v>13800</v>
      </c>
      <c r="F298" s="9">
        <v>2</v>
      </c>
      <c r="G298" s="8">
        <f t="shared" ref="G298:G312" si="48">+D298*1.5</f>
        <v>2587.5</v>
      </c>
      <c r="H298" s="8">
        <f>+F298*G298</f>
        <v>5175</v>
      </c>
      <c r="I298" s="9"/>
      <c r="J298" s="8"/>
      <c r="K298" s="8">
        <f>+I298*J298</f>
        <v>0</v>
      </c>
      <c r="L298" s="8">
        <f>+E298+H298+K298</f>
        <v>18975</v>
      </c>
      <c r="O298" s="89" t="s">
        <v>13</v>
      </c>
      <c r="P298" s="90"/>
      <c r="Q298" s="91"/>
    </row>
    <row r="299" spans="1:17" x14ac:dyDescent="0.25">
      <c r="A299" s="5" t="s">
        <v>14</v>
      </c>
      <c r="B299" s="6">
        <v>46297</v>
      </c>
      <c r="C299" s="7">
        <v>8</v>
      </c>
      <c r="D299" s="8">
        <v>1725</v>
      </c>
      <c r="E299" s="8">
        <f t="shared" si="47"/>
        <v>13800</v>
      </c>
      <c r="F299" s="9">
        <v>2</v>
      </c>
      <c r="G299" s="8">
        <f t="shared" si="48"/>
        <v>2587.5</v>
      </c>
      <c r="H299" s="8">
        <f t="shared" ref="H299:H312" si="49">+F299*G299</f>
        <v>5175</v>
      </c>
      <c r="I299" s="9"/>
      <c r="J299" s="8"/>
      <c r="K299" s="8">
        <f t="shared" ref="K299:K312" si="50">+I299*J299</f>
        <v>0</v>
      </c>
      <c r="L299" s="8">
        <f t="shared" ref="L299:L312" si="51">+E299+H299+K299</f>
        <v>18975</v>
      </c>
      <c r="O299" s="10" t="s">
        <v>15</v>
      </c>
      <c r="P299" s="92" t="s">
        <v>66</v>
      </c>
      <c r="Q299" s="93"/>
    </row>
    <row r="300" spans="1:17" x14ac:dyDescent="0.25">
      <c r="A300" s="5" t="s">
        <v>17</v>
      </c>
      <c r="B300" s="6">
        <v>46298</v>
      </c>
      <c r="C300" s="7">
        <v>8</v>
      </c>
      <c r="D300" s="8">
        <v>1725</v>
      </c>
      <c r="E300" s="8">
        <f t="shared" si="47"/>
        <v>13800</v>
      </c>
      <c r="F300" s="9">
        <v>2</v>
      </c>
      <c r="G300" s="8">
        <f t="shared" si="48"/>
        <v>2587.5</v>
      </c>
      <c r="H300" s="8">
        <f t="shared" si="49"/>
        <v>5175</v>
      </c>
      <c r="I300" s="9"/>
      <c r="J300" s="8"/>
      <c r="K300" s="8">
        <f t="shared" si="50"/>
        <v>0</v>
      </c>
      <c r="L300" s="8">
        <f t="shared" si="51"/>
        <v>18975</v>
      </c>
      <c r="O300" s="10" t="str">
        <f>+O12</f>
        <v>FECHA:         15/10/2026</v>
      </c>
      <c r="P300" s="11" t="s">
        <v>19</v>
      </c>
      <c r="Q300" s="12">
        <f>+Q12</f>
        <v>419755.93</v>
      </c>
    </row>
    <row r="301" spans="1:17" x14ac:dyDescent="0.25">
      <c r="A301" s="5" t="s">
        <v>20</v>
      </c>
      <c r="B301" s="6">
        <v>46299</v>
      </c>
      <c r="C301" s="7">
        <v>8</v>
      </c>
      <c r="D301" s="8">
        <v>1725</v>
      </c>
      <c r="E301" s="8">
        <f t="shared" si="47"/>
        <v>13800</v>
      </c>
      <c r="F301" s="9"/>
      <c r="G301" s="8">
        <f t="shared" si="48"/>
        <v>2587.5</v>
      </c>
      <c r="H301" s="8">
        <f t="shared" si="49"/>
        <v>0</v>
      </c>
      <c r="I301" s="9"/>
      <c r="J301" s="8"/>
      <c r="K301" s="8">
        <f t="shared" si="50"/>
        <v>0</v>
      </c>
      <c r="L301" s="8">
        <f t="shared" si="51"/>
        <v>13800</v>
      </c>
      <c r="O301" s="10" t="s">
        <v>21</v>
      </c>
      <c r="P301" s="13">
        <f>+Q300/2</f>
        <v>209877.965</v>
      </c>
      <c r="Q301" s="14"/>
    </row>
    <row r="302" spans="1:17" x14ac:dyDescent="0.25">
      <c r="A302" s="5" t="s">
        <v>22</v>
      </c>
      <c r="B302" s="6">
        <v>46300</v>
      </c>
      <c r="C302" s="7">
        <v>8</v>
      </c>
      <c r="D302" s="8">
        <v>1725</v>
      </c>
      <c r="E302" s="8">
        <f t="shared" si="47"/>
        <v>13800</v>
      </c>
      <c r="F302" s="9">
        <v>2</v>
      </c>
      <c r="G302" s="8">
        <f t="shared" si="48"/>
        <v>2587.5</v>
      </c>
      <c r="H302" s="8">
        <f t="shared" si="49"/>
        <v>5175</v>
      </c>
      <c r="I302" s="9"/>
      <c r="J302" s="8"/>
      <c r="K302" s="8">
        <f t="shared" si="50"/>
        <v>0</v>
      </c>
      <c r="L302" s="8">
        <f t="shared" si="51"/>
        <v>18975</v>
      </c>
      <c r="O302" s="10" t="s">
        <v>23</v>
      </c>
      <c r="P302" s="13">
        <f>+H316</f>
        <v>62100</v>
      </c>
      <c r="Q302" s="14"/>
    </row>
    <row r="303" spans="1:17" x14ac:dyDescent="0.25">
      <c r="A303" s="5" t="s">
        <v>24</v>
      </c>
      <c r="B303" s="6">
        <v>46301</v>
      </c>
      <c r="C303" s="7">
        <v>8</v>
      </c>
      <c r="D303" s="8">
        <v>1725</v>
      </c>
      <c r="E303" s="8">
        <f t="shared" si="47"/>
        <v>13800</v>
      </c>
      <c r="F303" s="9">
        <v>2</v>
      </c>
      <c r="G303" s="8">
        <f t="shared" si="48"/>
        <v>2587.5</v>
      </c>
      <c r="H303" s="8">
        <f t="shared" si="49"/>
        <v>5175</v>
      </c>
      <c r="I303" s="9"/>
      <c r="J303" s="8"/>
      <c r="K303" s="8">
        <f t="shared" si="50"/>
        <v>0</v>
      </c>
      <c r="L303" s="8">
        <f t="shared" si="51"/>
        <v>18975</v>
      </c>
      <c r="O303" s="10" t="s">
        <v>9</v>
      </c>
      <c r="P303" s="13">
        <f>+K316</f>
        <v>0</v>
      </c>
      <c r="Q303" s="14"/>
    </row>
    <row r="304" spans="1:17" x14ac:dyDescent="0.25">
      <c r="A304" s="5" t="s">
        <v>25</v>
      </c>
      <c r="B304" s="6">
        <v>46302</v>
      </c>
      <c r="C304" s="7">
        <v>8</v>
      </c>
      <c r="D304" s="8">
        <v>1725</v>
      </c>
      <c r="E304" s="8">
        <f t="shared" si="47"/>
        <v>13800</v>
      </c>
      <c r="F304" s="9"/>
      <c r="G304" s="8">
        <f t="shared" si="48"/>
        <v>2587.5</v>
      </c>
      <c r="H304" s="8">
        <f t="shared" si="49"/>
        <v>0</v>
      </c>
      <c r="I304" s="9"/>
      <c r="J304" s="8"/>
      <c r="K304" s="8">
        <f t="shared" si="50"/>
        <v>0</v>
      </c>
      <c r="L304" s="8">
        <f t="shared" si="51"/>
        <v>13800</v>
      </c>
      <c r="M304" t="s">
        <v>67</v>
      </c>
      <c r="O304" s="10" t="s">
        <v>26</v>
      </c>
      <c r="P304" s="13"/>
      <c r="Q304" s="14"/>
    </row>
    <row r="305" spans="1:17" x14ac:dyDescent="0.25">
      <c r="A305" s="5" t="s">
        <v>12</v>
      </c>
      <c r="B305" s="6">
        <v>46303</v>
      </c>
      <c r="C305" s="7">
        <v>8</v>
      </c>
      <c r="D305" s="8">
        <v>1725</v>
      </c>
      <c r="E305" s="8">
        <f t="shared" si="47"/>
        <v>13800</v>
      </c>
      <c r="F305" s="9">
        <v>2</v>
      </c>
      <c r="G305" s="8">
        <f t="shared" si="48"/>
        <v>2587.5</v>
      </c>
      <c r="H305" s="8">
        <f t="shared" si="49"/>
        <v>5175</v>
      </c>
      <c r="I305" s="9"/>
      <c r="J305" s="8"/>
      <c r="K305" s="8">
        <f t="shared" si="50"/>
        <v>0</v>
      </c>
      <c r="L305" s="8">
        <f t="shared" si="51"/>
        <v>18975</v>
      </c>
      <c r="O305" s="17" t="s">
        <v>28</v>
      </c>
      <c r="P305" s="18">
        <f>SUM(P301:P304)</f>
        <v>271977.96499999997</v>
      </c>
      <c r="Q305" s="19">
        <f>+P305</f>
        <v>271977.96499999997</v>
      </c>
    </row>
    <row r="306" spans="1:17" x14ac:dyDescent="0.25">
      <c r="A306" s="5" t="s">
        <v>14</v>
      </c>
      <c r="B306" s="6">
        <v>46304</v>
      </c>
      <c r="C306" s="7">
        <v>8</v>
      </c>
      <c r="D306" s="8">
        <v>1725</v>
      </c>
      <c r="E306" s="8">
        <f t="shared" si="47"/>
        <v>13800</v>
      </c>
      <c r="F306" s="9">
        <v>2</v>
      </c>
      <c r="G306" s="8">
        <f t="shared" si="48"/>
        <v>2587.5</v>
      </c>
      <c r="H306" s="8">
        <f t="shared" si="49"/>
        <v>5175</v>
      </c>
      <c r="I306" s="9"/>
      <c r="J306" s="8"/>
      <c r="K306" s="8">
        <f t="shared" si="50"/>
        <v>0</v>
      </c>
      <c r="L306" s="8">
        <f t="shared" si="51"/>
        <v>18975</v>
      </c>
      <c r="O306" s="83" t="s">
        <v>29</v>
      </c>
      <c r="P306" s="84"/>
      <c r="Q306" s="20"/>
    </row>
    <row r="307" spans="1:17" x14ac:dyDescent="0.25">
      <c r="A307" s="5" t="s">
        <v>17</v>
      </c>
      <c r="B307" s="6">
        <v>46305</v>
      </c>
      <c r="C307" s="7">
        <v>8</v>
      </c>
      <c r="D307" s="8">
        <v>1725</v>
      </c>
      <c r="E307" s="8">
        <f t="shared" si="47"/>
        <v>13800</v>
      </c>
      <c r="F307" s="9">
        <v>2</v>
      </c>
      <c r="G307" s="8">
        <f t="shared" si="48"/>
        <v>2587.5</v>
      </c>
      <c r="H307" s="8">
        <f t="shared" si="49"/>
        <v>5175</v>
      </c>
      <c r="I307" s="9"/>
      <c r="J307" s="8"/>
      <c r="K307" s="8">
        <f t="shared" si="50"/>
        <v>0</v>
      </c>
      <c r="L307" s="8">
        <f t="shared" si="51"/>
        <v>18975</v>
      </c>
      <c r="O307" s="85" t="str">
        <f>+O19</f>
        <v>CCSS 10.83%</v>
      </c>
      <c r="P307" s="86"/>
      <c r="Q307" s="21">
        <f>+Q19</f>
        <v>22729.783609500002</v>
      </c>
    </row>
    <row r="308" spans="1:17" x14ac:dyDescent="0.25">
      <c r="A308" s="5" t="s">
        <v>20</v>
      </c>
      <c r="B308" s="6">
        <v>46306</v>
      </c>
      <c r="C308" s="7">
        <v>8</v>
      </c>
      <c r="D308" s="8">
        <v>1725</v>
      </c>
      <c r="E308" s="8">
        <f t="shared" si="47"/>
        <v>13800</v>
      </c>
      <c r="F308" s="9"/>
      <c r="G308" s="8">
        <f t="shared" si="48"/>
        <v>2587.5</v>
      </c>
      <c r="H308" s="8">
        <f t="shared" si="49"/>
        <v>0</v>
      </c>
      <c r="I308" s="9"/>
      <c r="J308" s="8"/>
      <c r="K308" s="8">
        <f t="shared" si="50"/>
        <v>0</v>
      </c>
      <c r="L308" s="8">
        <f t="shared" si="51"/>
        <v>13800</v>
      </c>
      <c r="O308" s="85" t="s">
        <v>31</v>
      </c>
      <c r="P308" s="86"/>
      <c r="Q308" s="21">
        <v>19097</v>
      </c>
    </row>
    <row r="309" spans="1:17" x14ac:dyDescent="0.25">
      <c r="A309" s="5" t="s">
        <v>22</v>
      </c>
      <c r="B309" s="6">
        <v>46307</v>
      </c>
      <c r="C309" s="7">
        <v>8</v>
      </c>
      <c r="D309" s="8">
        <v>1725</v>
      </c>
      <c r="E309" s="8">
        <f t="shared" si="47"/>
        <v>13800</v>
      </c>
      <c r="F309" s="9">
        <v>2</v>
      </c>
      <c r="G309" s="8">
        <f t="shared" si="48"/>
        <v>2587.5</v>
      </c>
      <c r="H309" s="8">
        <f t="shared" si="49"/>
        <v>5175</v>
      </c>
      <c r="I309" s="9"/>
      <c r="J309" s="8"/>
      <c r="K309" s="8">
        <f t="shared" si="50"/>
        <v>0</v>
      </c>
      <c r="L309" s="8">
        <f t="shared" si="51"/>
        <v>18975</v>
      </c>
      <c r="O309" s="85" t="s">
        <v>32</v>
      </c>
      <c r="P309" s="86"/>
      <c r="Q309" s="21"/>
    </row>
    <row r="310" spans="1:17" x14ac:dyDescent="0.25">
      <c r="A310" s="5" t="s">
        <v>24</v>
      </c>
      <c r="B310" s="6">
        <v>46308</v>
      </c>
      <c r="C310" s="7">
        <v>8</v>
      </c>
      <c r="D310" s="8">
        <v>1725</v>
      </c>
      <c r="E310" s="8">
        <f t="shared" si="47"/>
        <v>13800</v>
      </c>
      <c r="F310" s="9">
        <v>2</v>
      </c>
      <c r="G310" s="8">
        <f t="shared" si="48"/>
        <v>2587.5</v>
      </c>
      <c r="H310" s="8">
        <f t="shared" si="49"/>
        <v>5175</v>
      </c>
      <c r="I310" s="9"/>
      <c r="J310" s="8"/>
      <c r="K310" s="8">
        <f t="shared" si="50"/>
        <v>0</v>
      </c>
      <c r="L310" s="8">
        <f t="shared" si="51"/>
        <v>18975</v>
      </c>
      <c r="O310" s="85" t="s">
        <v>33</v>
      </c>
      <c r="P310" s="86"/>
      <c r="Q310" s="21"/>
    </row>
    <row r="311" spans="1:17" x14ac:dyDescent="0.25">
      <c r="A311" s="5" t="s">
        <v>25</v>
      </c>
      <c r="B311" s="6">
        <v>46309</v>
      </c>
      <c r="C311" s="7">
        <v>8</v>
      </c>
      <c r="D311" s="8">
        <v>1725</v>
      </c>
      <c r="E311" s="8">
        <f t="shared" si="47"/>
        <v>13800</v>
      </c>
      <c r="F311" s="9">
        <v>2</v>
      </c>
      <c r="G311" s="8">
        <f t="shared" si="48"/>
        <v>2587.5</v>
      </c>
      <c r="H311" s="8">
        <f t="shared" si="49"/>
        <v>5175</v>
      </c>
      <c r="I311" s="9"/>
      <c r="J311" s="8"/>
      <c r="K311" s="8">
        <f t="shared" si="50"/>
        <v>0</v>
      </c>
      <c r="L311" s="8">
        <f t="shared" si="51"/>
        <v>18975</v>
      </c>
      <c r="O311" s="85" t="s">
        <v>34</v>
      </c>
      <c r="P311" s="86"/>
      <c r="Q311" s="21">
        <f>SUM(Q307:Q310)</f>
        <v>41826.783609500002</v>
      </c>
    </row>
    <row r="312" spans="1:17" x14ac:dyDescent="0.25">
      <c r="A312" s="5" t="s">
        <v>12</v>
      </c>
      <c r="B312" s="6">
        <v>46310</v>
      </c>
      <c r="C312" s="7">
        <v>8</v>
      </c>
      <c r="D312" s="8">
        <v>1725</v>
      </c>
      <c r="E312" s="8">
        <f t="shared" si="47"/>
        <v>13800</v>
      </c>
      <c r="F312" s="9">
        <v>2</v>
      </c>
      <c r="G312" s="8">
        <f t="shared" si="48"/>
        <v>2587.5</v>
      </c>
      <c r="H312" s="8">
        <f t="shared" si="49"/>
        <v>5175</v>
      </c>
      <c r="I312" s="9"/>
      <c r="J312" s="8"/>
      <c r="K312" s="8">
        <f t="shared" si="50"/>
        <v>0</v>
      </c>
      <c r="L312" s="8">
        <f t="shared" si="51"/>
        <v>18975</v>
      </c>
      <c r="O312" s="95"/>
      <c r="P312" s="96"/>
      <c r="Q312" s="14"/>
    </row>
    <row r="313" spans="1:17" ht="16.5" x14ac:dyDescent="0.35">
      <c r="A313" s="5"/>
      <c r="B313" s="6"/>
      <c r="C313" s="7"/>
      <c r="D313" s="8"/>
      <c r="E313" s="8"/>
      <c r="F313" s="9"/>
      <c r="G313" s="8"/>
      <c r="H313" s="8"/>
      <c r="I313" s="9"/>
      <c r="J313" s="8"/>
      <c r="K313" s="8"/>
      <c r="L313" s="8"/>
      <c r="O313" s="85" t="s">
        <v>35</v>
      </c>
      <c r="P313" s="86"/>
      <c r="Q313" s="22">
        <f>Q305-Q311</f>
        <v>230151.18139049996</v>
      </c>
    </row>
    <row r="314" spans="1:17" ht="16.5" x14ac:dyDescent="0.35">
      <c r="B314" s="37"/>
      <c r="C314" s="37"/>
      <c r="D314" s="37"/>
      <c r="E314" s="27"/>
      <c r="F314" s="25"/>
      <c r="G314" s="25"/>
      <c r="H314" s="8"/>
      <c r="I314" s="25"/>
      <c r="J314" s="25"/>
      <c r="K314" s="25"/>
      <c r="L314" s="26"/>
    </row>
    <row r="315" spans="1:17" ht="16.5" x14ac:dyDescent="0.35">
      <c r="B315" s="97"/>
      <c r="C315" s="98"/>
      <c r="D315" s="99"/>
      <c r="E315" s="27"/>
      <c r="F315" s="25"/>
      <c r="G315" s="25"/>
      <c r="H315" s="8"/>
      <c r="I315" s="25"/>
      <c r="J315" s="25"/>
      <c r="K315" s="25"/>
      <c r="L315" s="26"/>
      <c r="O315" s="100" t="s">
        <v>36</v>
      </c>
      <c r="P315" s="100"/>
      <c r="Q315" s="100"/>
    </row>
    <row r="316" spans="1:17" ht="16.5" x14ac:dyDescent="0.35">
      <c r="B316" s="105"/>
      <c r="C316" s="106"/>
      <c r="D316" s="107"/>
      <c r="E316" s="39"/>
      <c r="F316" s="25"/>
      <c r="G316" s="25"/>
      <c r="H316" s="24">
        <f>SUM(H298:H314)</f>
        <v>62100</v>
      </c>
      <c r="I316" s="25"/>
      <c r="J316" s="25"/>
      <c r="K316" s="24">
        <f>SUM(K298:K314)</f>
        <v>0</v>
      </c>
      <c r="L316" s="28">
        <f>SUM(H316:K316)</f>
        <v>62100</v>
      </c>
      <c r="O316" s="101" t="s">
        <v>37</v>
      </c>
      <c r="P316" s="101"/>
      <c r="Q316" s="101"/>
    </row>
    <row r="317" spans="1:17" ht="16.5" x14ac:dyDescent="0.35">
      <c r="B317" s="1"/>
      <c r="C317" s="1"/>
      <c r="D317" s="1"/>
      <c r="E317" s="40"/>
      <c r="F317" s="1"/>
      <c r="G317" s="1"/>
      <c r="H317" s="41"/>
      <c r="I317" s="48"/>
      <c r="J317" s="30"/>
      <c r="K317" s="49"/>
      <c r="L317" s="31"/>
    </row>
    <row r="318" spans="1:17" ht="16.5" x14ac:dyDescent="0.35">
      <c r="B318" s="1"/>
      <c r="C318" s="1"/>
      <c r="D318" s="1" t="s">
        <v>42</v>
      </c>
      <c r="E318" s="40"/>
      <c r="F318" s="1"/>
      <c r="G318" s="1"/>
      <c r="H318" s="41"/>
      <c r="I318" s="1"/>
      <c r="J318" s="30"/>
      <c r="K318" s="30"/>
      <c r="L318" s="50"/>
    </row>
    <row r="319" spans="1:17" ht="16.5" x14ac:dyDescent="0.35">
      <c r="B319" s="1"/>
      <c r="C319" s="1"/>
      <c r="D319" s="1"/>
      <c r="E319" s="42" t="s">
        <v>62</v>
      </c>
      <c r="F319" s="43"/>
      <c r="G319" s="43"/>
      <c r="H319" s="41"/>
      <c r="I319" s="1"/>
      <c r="J319" s="30"/>
      <c r="K319" s="30"/>
      <c r="L319" s="50"/>
    </row>
    <row r="320" spans="1:17" ht="16.5" x14ac:dyDescent="0.35">
      <c r="B320" s="1"/>
      <c r="C320" s="1"/>
      <c r="D320" s="1"/>
      <c r="E320" s="42"/>
      <c r="F320" s="43"/>
      <c r="G320" s="43"/>
      <c r="H320" s="41"/>
      <c r="I320" s="1"/>
      <c r="J320" s="30"/>
      <c r="K320" s="30"/>
      <c r="L320" s="50"/>
    </row>
    <row r="321" spans="1:17" ht="16.5" x14ac:dyDescent="0.35">
      <c r="B321" s="1"/>
      <c r="C321" s="1"/>
      <c r="D321" s="1"/>
      <c r="E321" s="42"/>
      <c r="F321" s="43"/>
      <c r="G321" s="43"/>
      <c r="H321" s="41"/>
      <c r="I321" s="1"/>
      <c r="J321" s="30"/>
      <c r="K321" s="30"/>
      <c r="L321" s="50"/>
    </row>
    <row r="322" spans="1:17" ht="16.5" x14ac:dyDescent="0.35">
      <c r="B322" s="1"/>
      <c r="C322" s="1"/>
      <c r="D322" s="1"/>
      <c r="E322" s="42"/>
      <c r="F322" s="43"/>
      <c r="G322" s="43"/>
      <c r="H322" s="41"/>
      <c r="I322" s="1"/>
      <c r="J322" s="30"/>
      <c r="K322" s="30"/>
      <c r="L322" s="50"/>
    </row>
    <row r="323" spans="1:17" x14ac:dyDescent="0.25">
      <c r="B323" s="94" t="s">
        <v>68</v>
      </c>
      <c r="C323" s="94"/>
      <c r="D323" s="94"/>
      <c r="E323" s="94"/>
      <c r="F323" s="94"/>
      <c r="G323" s="94"/>
      <c r="H323" s="94"/>
      <c r="I323" s="94"/>
      <c r="J323" s="94"/>
      <c r="K323" s="94"/>
      <c r="L323" s="94"/>
    </row>
    <row r="324" spans="1:17" ht="16.5" x14ac:dyDescent="0.35">
      <c r="B324" s="1"/>
      <c r="C324" s="1"/>
      <c r="D324" s="1"/>
      <c r="E324" s="42"/>
      <c r="F324" s="43"/>
      <c r="G324" s="43"/>
      <c r="H324" s="41"/>
      <c r="I324" s="1"/>
      <c r="J324" s="30"/>
      <c r="K324" s="30"/>
      <c r="L324" s="50"/>
    </row>
    <row r="325" spans="1:17" x14ac:dyDescent="0.25">
      <c r="B325" s="87" t="s">
        <v>0</v>
      </c>
      <c r="C325" s="87"/>
      <c r="D325" s="87"/>
      <c r="E325" s="87"/>
      <c r="F325" s="87"/>
      <c r="G325" s="87"/>
      <c r="H325" s="87"/>
      <c r="I325" s="87"/>
      <c r="J325" s="87"/>
      <c r="K325" s="87"/>
      <c r="L325" s="87"/>
    </row>
    <row r="326" spans="1:17" x14ac:dyDescent="0.25">
      <c r="B326" s="87" t="s">
        <v>1</v>
      </c>
      <c r="C326" s="87"/>
      <c r="D326" s="87"/>
      <c r="E326" s="87"/>
      <c r="F326" s="87"/>
      <c r="G326" s="87"/>
      <c r="H326" s="87"/>
      <c r="I326" s="87"/>
      <c r="J326" s="87"/>
      <c r="K326" s="87"/>
      <c r="L326" s="87"/>
    </row>
    <row r="327" spans="1:17" x14ac:dyDescent="0.25"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</row>
    <row r="328" spans="1:17" ht="23.25" x14ac:dyDescent="0.25">
      <c r="B328" s="25" t="s">
        <v>3</v>
      </c>
      <c r="C328" s="4" t="s">
        <v>4</v>
      </c>
      <c r="D328" s="4" t="s">
        <v>5</v>
      </c>
      <c r="E328" s="4" t="s">
        <v>6</v>
      </c>
      <c r="F328" s="4" t="s">
        <v>7</v>
      </c>
      <c r="G328" s="4" t="s">
        <v>8</v>
      </c>
      <c r="H328" s="4" t="s">
        <v>6</v>
      </c>
      <c r="I328" s="4" t="s">
        <v>9</v>
      </c>
      <c r="J328" s="4" t="s">
        <v>10</v>
      </c>
      <c r="K328" s="4" t="s">
        <v>6</v>
      </c>
      <c r="L328" s="4" t="s">
        <v>11</v>
      </c>
      <c r="O328" s="89" t="s">
        <v>0</v>
      </c>
      <c r="P328" s="90"/>
      <c r="Q328" s="91"/>
    </row>
    <row r="329" spans="1:17" ht="15.75" customHeight="1" x14ac:dyDescent="0.25">
      <c r="A329" s="5" t="s">
        <v>12</v>
      </c>
      <c r="B329" s="6">
        <v>46296</v>
      </c>
      <c r="C329" s="7">
        <v>7</v>
      </c>
      <c r="D329" s="8">
        <v>1971.43</v>
      </c>
      <c r="E329" s="8">
        <f t="shared" ref="E329:E343" si="52">+C329*D329</f>
        <v>13800.01</v>
      </c>
      <c r="F329" s="9"/>
      <c r="G329" s="8">
        <f t="shared" ref="G329:G343" si="53">+D329*1.5</f>
        <v>2957.145</v>
      </c>
      <c r="H329" s="8">
        <f>+F329*G329</f>
        <v>0</v>
      </c>
      <c r="I329" s="9"/>
      <c r="J329" s="8"/>
      <c r="K329" s="8">
        <f>+I329*J329</f>
        <v>0</v>
      </c>
      <c r="L329" s="8">
        <f>+E329+H329+K329</f>
        <v>13800.01</v>
      </c>
      <c r="O329" s="89" t="s">
        <v>13</v>
      </c>
      <c r="P329" s="90"/>
      <c r="Q329" s="91"/>
    </row>
    <row r="330" spans="1:17" ht="15.75" customHeight="1" x14ac:dyDescent="0.25">
      <c r="A330" s="5" t="s">
        <v>14</v>
      </c>
      <c r="B330" s="6">
        <v>46297</v>
      </c>
      <c r="C330" s="7">
        <v>7</v>
      </c>
      <c r="D330" s="8">
        <v>1971.43</v>
      </c>
      <c r="E330" s="8">
        <f t="shared" si="52"/>
        <v>13800.01</v>
      </c>
      <c r="F330" s="9"/>
      <c r="G330" s="8">
        <f t="shared" si="53"/>
        <v>2957.145</v>
      </c>
      <c r="H330" s="8">
        <f t="shared" ref="H330:H343" si="54">+F330*G330</f>
        <v>0</v>
      </c>
      <c r="I330" s="9"/>
      <c r="J330" s="8"/>
      <c r="K330" s="8">
        <f t="shared" ref="K330:K343" si="55">+I330*J330</f>
        <v>0</v>
      </c>
      <c r="L330" s="8">
        <f t="shared" ref="L330:L343" si="56">+E330+H330+K330</f>
        <v>13800.01</v>
      </c>
      <c r="O330" s="10" t="s">
        <v>15</v>
      </c>
      <c r="P330" s="92" t="s">
        <v>69</v>
      </c>
      <c r="Q330" s="93"/>
    </row>
    <row r="331" spans="1:17" ht="15.75" customHeight="1" x14ac:dyDescent="0.25">
      <c r="A331" s="15" t="s">
        <v>17</v>
      </c>
      <c r="B331" s="16">
        <v>46298</v>
      </c>
      <c r="C331" s="7">
        <v>8</v>
      </c>
      <c r="D331" s="8">
        <v>1725</v>
      </c>
      <c r="E331" s="8">
        <f t="shared" si="52"/>
        <v>13800</v>
      </c>
      <c r="F331" s="9">
        <v>2</v>
      </c>
      <c r="G331" s="8">
        <f t="shared" si="53"/>
        <v>2587.5</v>
      </c>
      <c r="H331" s="8">
        <f t="shared" si="54"/>
        <v>5175</v>
      </c>
      <c r="I331" s="9"/>
      <c r="J331" s="8"/>
      <c r="K331" s="8">
        <f t="shared" si="55"/>
        <v>0</v>
      </c>
      <c r="L331" s="8">
        <f t="shared" si="56"/>
        <v>18975</v>
      </c>
      <c r="O331" s="10" t="str">
        <f>+O12</f>
        <v>FECHA:         15/10/2026</v>
      </c>
      <c r="P331" s="11" t="s">
        <v>19</v>
      </c>
      <c r="Q331" s="12">
        <f>+Q12</f>
        <v>419755.93</v>
      </c>
    </row>
    <row r="332" spans="1:17" ht="15.75" customHeight="1" x14ac:dyDescent="0.25">
      <c r="A332" s="5" t="s">
        <v>20</v>
      </c>
      <c r="B332" s="6">
        <v>46299</v>
      </c>
      <c r="C332" s="7">
        <v>7</v>
      </c>
      <c r="D332" s="8">
        <v>1971.43</v>
      </c>
      <c r="E332" s="8">
        <f t="shared" si="52"/>
        <v>13800.01</v>
      </c>
      <c r="F332" s="9"/>
      <c r="G332" s="8">
        <f t="shared" si="53"/>
        <v>2957.145</v>
      </c>
      <c r="H332" s="8">
        <f t="shared" si="54"/>
        <v>0</v>
      </c>
      <c r="I332" s="9"/>
      <c r="J332" s="8"/>
      <c r="K332" s="8">
        <f t="shared" si="55"/>
        <v>0</v>
      </c>
      <c r="L332" s="8">
        <f t="shared" si="56"/>
        <v>13800.01</v>
      </c>
      <c r="O332" s="10" t="s">
        <v>21</v>
      </c>
      <c r="P332" s="13">
        <f>+Q331/2</f>
        <v>209877.965</v>
      </c>
      <c r="Q332" s="14"/>
    </row>
    <row r="333" spans="1:17" ht="15.75" customHeight="1" x14ac:dyDescent="0.25">
      <c r="A333" s="5" t="s">
        <v>22</v>
      </c>
      <c r="B333" s="6">
        <v>46300</v>
      </c>
      <c r="C333" s="7">
        <v>7</v>
      </c>
      <c r="D333" s="8">
        <v>1971.43</v>
      </c>
      <c r="E333" s="8">
        <f t="shared" si="52"/>
        <v>13800.01</v>
      </c>
      <c r="F333" s="9"/>
      <c r="G333" s="8">
        <f t="shared" si="53"/>
        <v>2957.145</v>
      </c>
      <c r="H333" s="8">
        <f t="shared" si="54"/>
        <v>0</v>
      </c>
      <c r="I333" s="9"/>
      <c r="J333" s="8"/>
      <c r="K333" s="8">
        <f t="shared" si="55"/>
        <v>0</v>
      </c>
      <c r="L333" s="8">
        <f t="shared" si="56"/>
        <v>13800.01</v>
      </c>
      <c r="O333" s="10" t="s">
        <v>23</v>
      </c>
      <c r="P333" s="13">
        <f>+H347</f>
        <v>22178.58</v>
      </c>
      <c r="Q333" s="14"/>
    </row>
    <row r="334" spans="1:17" ht="15.75" customHeight="1" x14ac:dyDescent="0.25">
      <c r="A334" s="5" t="s">
        <v>24</v>
      </c>
      <c r="B334" s="6">
        <v>46301</v>
      </c>
      <c r="C334" s="7">
        <v>7</v>
      </c>
      <c r="D334" s="8">
        <v>1971.43</v>
      </c>
      <c r="E334" s="8">
        <f t="shared" si="52"/>
        <v>13800.01</v>
      </c>
      <c r="F334" s="9"/>
      <c r="G334" s="8">
        <f t="shared" si="53"/>
        <v>2957.145</v>
      </c>
      <c r="H334" s="8">
        <f t="shared" si="54"/>
        <v>0</v>
      </c>
      <c r="I334" s="9"/>
      <c r="J334" s="8"/>
      <c r="K334" s="8">
        <f t="shared" si="55"/>
        <v>0</v>
      </c>
      <c r="L334" s="8">
        <f t="shared" si="56"/>
        <v>13800.01</v>
      </c>
      <c r="O334" s="10" t="s">
        <v>9</v>
      </c>
      <c r="P334" s="13">
        <f>+K347</f>
        <v>0</v>
      </c>
      <c r="Q334" s="14"/>
    </row>
    <row r="335" spans="1:17" ht="15.75" customHeight="1" x14ac:dyDescent="0.25">
      <c r="A335" s="15" t="s">
        <v>25</v>
      </c>
      <c r="B335" s="16">
        <v>46302</v>
      </c>
      <c r="C335" s="7">
        <v>8</v>
      </c>
      <c r="D335" s="8">
        <v>1971.43</v>
      </c>
      <c r="E335" s="8">
        <f t="shared" si="52"/>
        <v>15771.44</v>
      </c>
      <c r="F335" s="9">
        <v>2</v>
      </c>
      <c r="G335" s="8">
        <f t="shared" si="53"/>
        <v>2957.145</v>
      </c>
      <c r="H335" s="8">
        <f t="shared" si="54"/>
        <v>5914.29</v>
      </c>
      <c r="I335" s="9"/>
      <c r="J335" s="8"/>
      <c r="K335" s="8">
        <f t="shared" si="55"/>
        <v>0</v>
      </c>
      <c r="L335" s="8">
        <f t="shared" si="56"/>
        <v>21685.73</v>
      </c>
      <c r="M335" t="s">
        <v>70</v>
      </c>
      <c r="O335" s="10" t="s">
        <v>26</v>
      </c>
      <c r="P335" s="13"/>
      <c r="Q335" s="14"/>
    </row>
    <row r="336" spans="1:17" ht="15.75" customHeight="1" x14ac:dyDescent="0.25">
      <c r="A336" s="15" t="s">
        <v>12</v>
      </c>
      <c r="B336" s="16">
        <v>46303</v>
      </c>
      <c r="C336" s="7">
        <v>8</v>
      </c>
      <c r="D336" s="8">
        <v>1971.43</v>
      </c>
      <c r="E336" s="8">
        <f t="shared" si="52"/>
        <v>15771.44</v>
      </c>
      <c r="F336" s="9">
        <v>2</v>
      </c>
      <c r="G336" s="8">
        <f t="shared" si="53"/>
        <v>2957.145</v>
      </c>
      <c r="H336" s="8">
        <f t="shared" si="54"/>
        <v>5914.29</v>
      </c>
      <c r="I336" s="9"/>
      <c r="J336" s="8"/>
      <c r="K336" s="8">
        <f t="shared" si="55"/>
        <v>0</v>
      </c>
      <c r="L336" s="8">
        <f t="shared" si="56"/>
        <v>21685.73</v>
      </c>
      <c r="M336" t="s">
        <v>71</v>
      </c>
      <c r="O336" s="17" t="s">
        <v>28</v>
      </c>
      <c r="P336" s="18">
        <f>SUM(P332:P335)</f>
        <v>232056.54499999998</v>
      </c>
      <c r="Q336" s="19">
        <f>+P336</f>
        <v>232056.54499999998</v>
      </c>
    </row>
    <row r="337" spans="1:17" ht="15.75" customHeight="1" x14ac:dyDescent="0.25">
      <c r="A337" s="5" t="s">
        <v>14</v>
      </c>
      <c r="B337" s="6">
        <v>46304</v>
      </c>
      <c r="C337" s="7">
        <v>7</v>
      </c>
      <c r="D337" s="8">
        <v>1971.43</v>
      </c>
      <c r="E337" s="8">
        <f t="shared" si="52"/>
        <v>13800.01</v>
      </c>
      <c r="F337" s="9"/>
      <c r="G337" s="8">
        <f t="shared" si="53"/>
        <v>2957.145</v>
      </c>
      <c r="H337" s="8">
        <f t="shared" si="54"/>
        <v>0</v>
      </c>
      <c r="I337" s="9"/>
      <c r="J337" s="8"/>
      <c r="K337" s="8">
        <f t="shared" si="55"/>
        <v>0</v>
      </c>
      <c r="L337" s="8">
        <f t="shared" si="56"/>
        <v>13800.01</v>
      </c>
      <c r="M337" t="s">
        <v>72</v>
      </c>
      <c r="O337" s="83" t="s">
        <v>29</v>
      </c>
      <c r="P337" s="84"/>
      <c r="Q337" s="20"/>
    </row>
    <row r="338" spans="1:17" ht="15.75" customHeight="1" x14ac:dyDescent="0.25">
      <c r="A338" s="15" t="s">
        <v>17</v>
      </c>
      <c r="B338" s="16">
        <v>46305</v>
      </c>
      <c r="C338" s="7">
        <v>8</v>
      </c>
      <c r="D338" s="8">
        <v>1725</v>
      </c>
      <c r="E338" s="8">
        <f t="shared" si="52"/>
        <v>13800</v>
      </c>
      <c r="F338" s="9">
        <v>2</v>
      </c>
      <c r="G338" s="8">
        <f t="shared" si="53"/>
        <v>2587.5</v>
      </c>
      <c r="H338" s="8">
        <f t="shared" si="54"/>
        <v>5175</v>
      </c>
      <c r="I338" s="9"/>
      <c r="J338" s="8"/>
      <c r="K338" s="8">
        <f t="shared" si="55"/>
        <v>0</v>
      </c>
      <c r="L338" s="8">
        <f t="shared" si="56"/>
        <v>18975</v>
      </c>
      <c r="O338" s="85" t="str">
        <f>+O19</f>
        <v>CCSS 10.83%</v>
      </c>
      <c r="P338" s="86"/>
      <c r="Q338" s="21">
        <f>+Q19</f>
        <v>22729.783609500002</v>
      </c>
    </row>
    <row r="339" spans="1:17" ht="15.75" customHeight="1" x14ac:dyDescent="0.25">
      <c r="A339" s="5" t="s">
        <v>20</v>
      </c>
      <c r="B339" s="6">
        <v>46306</v>
      </c>
      <c r="C339" s="7">
        <v>7</v>
      </c>
      <c r="D339" s="8">
        <v>1971.43</v>
      </c>
      <c r="E339" s="8">
        <f t="shared" si="52"/>
        <v>13800.01</v>
      </c>
      <c r="F339" s="9"/>
      <c r="G339" s="8">
        <f t="shared" si="53"/>
        <v>2957.145</v>
      </c>
      <c r="H339" s="8">
        <f t="shared" si="54"/>
        <v>0</v>
      </c>
      <c r="I339" s="9"/>
      <c r="J339" s="8"/>
      <c r="K339" s="8">
        <f t="shared" si="55"/>
        <v>0</v>
      </c>
      <c r="L339" s="8">
        <f t="shared" si="56"/>
        <v>13800.01</v>
      </c>
      <c r="O339" s="85" t="s">
        <v>31</v>
      </c>
      <c r="P339" s="86"/>
      <c r="Q339" s="21"/>
    </row>
    <row r="340" spans="1:17" ht="15.75" customHeight="1" x14ac:dyDescent="0.25">
      <c r="A340" s="5" t="s">
        <v>22</v>
      </c>
      <c r="B340" s="6">
        <v>46307</v>
      </c>
      <c r="C340" s="7">
        <v>7</v>
      </c>
      <c r="D340" s="8">
        <v>1971.43</v>
      </c>
      <c r="E340" s="8">
        <f t="shared" si="52"/>
        <v>13800.01</v>
      </c>
      <c r="F340" s="9"/>
      <c r="G340" s="8">
        <f t="shared" si="53"/>
        <v>2957.145</v>
      </c>
      <c r="H340" s="8">
        <f t="shared" si="54"/>
        <v>0</v>
      </c>
      <c r="I340" s="9"/>
      <c r="J340" s="8"/>
      <c r="K340" s="8">
        <f t="shared" si="55"/>
        <v>0</v>
      </c>
      <c r="L340" s="8">
        <f t="shared" si="56"/>
        <v>13800.01</v>
      </c>
      <c r="O340" s="85" t="s">
        <v>32</v>
      </c>
      <c r="P340" s="86"/>
      <c r="Q340" s="21"/>
    </row>
    <row r="341" spans="1:17" ht="15.75" customHeight="1" x14ac:dyDescent="0.25">
      <c r="A341" s="5" t="s">
        <v>24</v>
      </c>
      <c r="B341" s="6">
        <v>46308</v>
      </c>
      <c r="C341" s="7">
        <v>7</v>
      </c>
      <c r="D341" s="8">
        <v>1971.43</v>
      </c>
      <c r="E341" s="8">
        <f t="shared" si="52"/>
        <v>13800.01</v>
      </c>
      <c r="F341" s="9"/>
      <c r="G341" s="8">
        <f t="shared" si="53"/>
        <v>2957.145</v>
      </c>
      <c r="H341" s="8">
        <f t="shared" si="54"/>
        <v>0</v>
      </c>
      <c r="I341" s="9"/>
      <c r="J341" s="8"/>
      <c r="K341" s="8">
        <f t="shared" si="55"/>
        <v>0</v>
      </c>
      <c r="L341" s="8">
        <f t="shared" si="56"/>
        <v>13800.01</v>
      </c>
      <c r="O341" s="85" t="s">
        <v>33</v>
      </c>
      <c r="P341" s="86"/>
      <c r="Q341" s="21"/>
    </row>
    <row r="342" spans="1:17" ht="15.75" customHeight="1" x14ac:dyDescent="0.25">
      <c r="A342" s="5" t="s">
        <v>25</v>
      </c>
      <c r="B342" s="6">
        <v>46309</v>
      </c>
      <c r="C342" s="7">
        <v>7</v>
      </c>
      <c r="D342" s="8">
        <v>1971.43</v>
      </c>
      <c r="E342" s="8">
        <f t="shared" si="52"/>
        <v>13800.01</v>
      </c>
      <c r="F342" s="9"/>
      <c r="G342" s="8">
        <f t="shared" si="53"/>
        <v>2957.145</v>
      </c>
      <c r="H342" s="8">
        <f t="shared" si="54"/>
        <v>0</v>
      </c>
      <c r="I342" s="9"/>
      <c r="J342" s="8"/>
      <c r="K342" s="8">
        <f t="shared" si="55"/>
        <v>0</v>
      </c>
      <c r="L342" s="8">
        <f t="shared" si="56"/>
        <v>13800.01</v>
      </c>
      <c r="O342" s="85" t="s">
        <v>34</v>
      </c>
      <c r="P342" s="86"/>
      <c r="Q342" s="21">
        <f>SUM(Q338:Q341)</f>
        <v>22729.783609500002</v>
      </c>
    </row>
    <row r="343" spans="1:17" ht="15.75" customHeight="1" x14ac:dyDescent="0.25">
      <c r="A343" s="5" t="s">
        <v>12</v>
      </c>
      <c r="B343" s="6">
        <v>46310</v>
      </c>
      <c r="C343" s="7">
        <v>7</v>
      </c>
      <c r="D343" s="8">
        <v>1971.43</v>
      </c>
      <c r="E343" s="8">
        <f t="shared" si="52"/>
        <v>13800.01</v>
      </c>
      <c r="F343" s="9"/>
      <c r="G343" s="8">
        <f t="shared" si="53"/>
        <v>2957.145</v>
      </c>
      <c r="H343" s="8">
        <f t="shared" si="54"/>
        <v>0</v>
      </c>
      <c r="I343" s="9"/>
      <c r="J343" s="8"/>
      <c r="K343" s="8">
        <f t="shared" si="55"/>
        <v>0</v>
      </c>
      <c r="L343" s="8">
        <f t="shared" si="56"/>
        <v>13800.01</v>
      </c>
      <c r="O343" s="95"/>
      <c r="P343" s="96"/>
      <c r="Q343" s="14"/>
    </row>
    <row r="344" spans="1:17" ht="15.75" customHeight="1" x14ac:dyDescent="0.35">
      <c r="A344" s="5"/>
      <c r="B344" s="6"/>
      <c r="C344" s="7"/>
      <c r="D344" s="8"/>
      <c r="E344" s="8"/>
      <c r="F344" s="9"/>
      <c r="G344" s="8"/>
      <c r="H344" s="8"/>
      <c r="I344" s="9"/>
      <c r="J344" s="8"/>
      <c r="K344" s="8"/>
      <c r="L344" s="8"/>
      <c r="O344" s="85" t="s">
        <v>35</v>
      </c>
      <c r="P344" s="86"/>
      <c r="Q344" s="22">
        <f>Q336-Q342</f>
        <v>209326.76139049997</v>
      </c>
    </row>
    <row r="345" spans="1:17" ht="15.75" customHeight="1" x14ac:dyDescent="0.35">
      <c r="B345" s="37"/>
      <c r="C345" s="37"/>
      <c r="D345" s="37"/>
      <c r="E345" s="27"/>
      <c r="F345" s="25"/>
      <c r="G345" s="25"/>
      <c r="H345" s="8"/>
      <c r="I345" s="25"/>
      <c r="J345" s="25"/>
      <c r="K345" s="25"/>
      <c r="L345" s="26"/>
    </row>
    <row r="346" spans="1:17" ht="15.75" customHeight="1" x14ac:dyDescent="0.35">
      <c r="B346" s="97"/>
      <c r="C346" s="98"/>
      <c r="D346" s="99"/>
      <c r="E346" s="27"/>
      <c r="F346" s="25"/>
      <c r="G346" s="25"/>
      <c r="H346" s="8"/>
      <c r="I346" s="25"/>
      <c r="J346" s="25"/>
      <c r="K346" s="25"/>
      <c r="L346" s="26"/>
      <c r="O346" s="100" t="s">
        <v>36</v>
      </c>
      <c r="P346" s="100"/>
      <c r="Q346" s="100"/>
    </row>
    <row r="347" spans="1:17" ht="13.5" customHeight="1" x14ac:dyDescent="0.35">
      <c r="B347" s="105"/>
      <c r="C347" s="106"/>
      <c r="D347" s="107"/>
      <c r="E347" s="39"/>
      <c r="F347" s="25"/>
      <c r="G347" s="25"/>
      <c r="H347" s="24">
        <f>SUM(H329:H345)</f>
        <v>22178.58</v>
      </c>
      <c r="I347" s="25"/>
      <c r="J347" s="25"/>
      <c r="K347" s="24">
        <f>SUM(K329:K345)</f>
        <v>0</v>
      </c>
      <c r="L347" s="28">
        <f>SUM(H347:K347)</f>
        <v>22178.58</v>
      </c>
      <c r="O347" s="101" t="s">
        <v>37</v>
      </c>
      <c r="P347" s="101"/>
      <c r="Q347" s="101"/>
    </row>
    <row r="348" spans="1:17" ht="4.5" customHeight="1" x14ac:dyDescent="0.35">
      <c r="B348" s="1"/>
      <c r="C348" s="1"/>
      <c r="D348" s="1"/>
      <c r="E348" s="40"/>
      <c r="F348" s="1"/>
      <c r="G348" s="1"/>
      <c r="H348" s="41"/>
      <c r="I348" s="48"/>
      <c r="J348" s="30"/>
      <c r="K348" s="49"/>
      <c r="L348" s="31"/>
    </row>
    <row r="349" spans="1:17" ht="16.5" x14ac:dyDescent="0.35">
      <c r="B349" s="1"/>
      <c r="C349" s="1"/>
      <c r="D349" s="1" t="s">
        <v>42</v>
      </c>
      <c r="E349" s="40"/>
      <c r="F349" s="1"/>
      <c r="G349" s="1"/>
      <c r="H349" s="41"/>
      <c r="I349" s="1"/>
      <c r="J349" s="30"/>
      <c r="K349" s="30"/>
      <c r="L349" s="50"/>
    </row>
    <row r="350" spans="1:17" ht="16.5" x14ac:dyDescent="0.35">
      <c r="B350" s="1"/>
      <c r="C350" s="1"/>
      <c r="D350" s="1"/>
      <c r="E350" s="42" t="s">
        <v>62</v>
      </c>
      <c r="F350" s="43"/>
      <c r="G350" s="43"/>
      <c r="H350" s="41"/>
      <c r="I350" s="1"/>
      <c r="J350" s="30"/>
      <c r="K350" s="30"/>
      <c r="L350" s="50"/>
    </row>
    <row r="351" spans="1:17" ht="16.5" x14ac:dyDescent="0.35">
      <c r="B351" s="1"/>
      <c r="C351" s="1"/>
      <c r="D351" s="1"/>
      <c r="E351" s="42"/>
      <c r="F351" s="43"/>
      <c r="G351" s="43"/>
      <c r="H351" s="41"/>
      <c r="I351" s="1"/>
      <c r="J351" s="30"/>
      <c r="K351" s="30"/>
      <c r="L351" s="50"/>
    </row>
    <row r="352" spans="1:17" ht="16.5" x14ac:dyDescent="0.35">
      <c r="B352" s="1"/>
      <c r="C352" s="1"/>
      <c r="D352" s="1"/>
      <c r="E352" s="42"/>
      <c r="F352" s="43"/>
      <c r="G352" s="43"/>
      <c r="H352" s="41"/>
      <c r="I352" s="1"/>
      <c r="J352" s="30"/>
      <c r="K352" s="30"/>
      <c r="L352" s="50"/>
    </row>
    <row r="353" spans="1:17" x14ac:dyDescent="0.25">
      <c r="B353" s="94" t="s">
        <v>73</v>
      </c>
      <c r="C353" s="94"/>
      <c r="D353" s="94"/>
      <c r="E353" s="94"/>
      <c r="F353" s="94"/>
      <c r="G353" s="94"/>
      <c r="H353" s="94"/>
      <c r="I353" s="94"/>
      <c r="J353" s="94"/>
      <c r="K353" s="94"/>
      <c r="L353" s="94"/>
    </row>
    <row r="354" spans="1:17" ht="16.5" x14ac:dyDescent="0.35">
      <c r="B354" s="1"/>
      <c r="C354" s="1"/>
      <c r="D354" s="1"/>
      <c r="E354" s="42"/>
      <c r="F354" s="43"/>
      <c r="G354" s="43"/>
      <c r="H354" s="41"/>
      <c r="I354" s="1"/>
      <c r="J354" s="30"/>
      <c r="K354" s="30"/>
      <c r="L354" s="50"/>
    </row>
    <row r="355" spans="1:17" x14ac:dyDescent="0.25">
      <c r="B355" s="87" t="s">
        <v>0</v>
      </c>
      <c r="C355" s="87"/>
      <c r="D355" s="87"/>
      <c r="E355" s="87"/>
      <c r="F355" s="87"/>
      <c r="G355" s="87"/>
      <c r="H355" s="87"/>
      <c r="I355" s="87"/>
      <c r="J355" s="87"/>
      <c r="K355" s="87"/>
      <c r="L355" s="87"/>
    </row>
    <row r="356" spans="1:17" x14ac:dyDescent="0.25">
      <c r="B356" s="87" t="s">
        <v>1</v>
      </c>
      <c r="C356" s="87"/>
      <c r="D356" s="87"/>
      <c r="E356" s="87"/>
      <c r="F356" s="87"/>
      <c r="G356" s="87"/>
      <c r="H356" s="87"/>
      <c r="I356" s="87"/>
      <c r="J356" s="87"/>
      <c r="K356" s="87"/>
      <c r="L356" s="87"/>
    </row>
    <row r="357" spans="1:17" x14ac:dyDescent="0.25"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</row>
    <row r="358" spans="1:17" ht="23.25" x14ac:dyDescent="0.25">
      <c r="B358" s="25" t="s">
        <v>3</v>
      </c>
      <c r="C358" s="4" t="s">
        <v>4</v>
      </c>
      <c r="D358" s="4" t="s">
        <v>5</v>
      </c>
      <c r="E358" s="4" t="s">
        <v>6</v>
      </c>
      <c r="F358" s="4" t="s">
        <v>7</v>
      </c>
      <c r="G358" s="4" t="s">
        <v>8</v>
      </c>
      <c r="H358" s="4" t="s">
        <v>6</v>
      </c>
      <c r="I358" s="4" t="s">
        <v>9</v>
      </c>
      <c r="J358" s="4" t="s">
        <v>10</v>
      </c>
      <c r="K358" s="4" t="s">
        <v>6</v>
      </c>
      <c r="L358" s="4" t="s">
        <v>11</v>
      </c>
      <c r="O358" s="89" t="s">
        <v>0</v>
      </c>
      <c r="P358" s="90"/>
      <c r="Q358" s="91"/>
    </row>
    <row r="359" spans="1:17" x14ac:dyDescent="0.25">
      <c r="A359" s="5" t="s">
        <v>12</v>
      </c>
      <c r="B359" s="6">
        <v>46296</v>
      </c>
      <c r="C359" s="7"/>
      <c r="D359" s="8"/>
      <c r="E359" s="8">
        <f t="shared" ref="E359:E373" si="57">+C359*D359</f>
        <v>0</v>
      </c>
      <c r="F359" s="9"/>
      <c r="G359" s="8">
        <f t="shared" ref="G359:G373" si="58">+D359*1.5</f>
        <v>0</v>
      </c>
      <c r="H359" s="8">
        <f>+F359*G359</f>
        <v>0</v>
      </c>
      <c r="I359" s="9"/>
      <c r="J359" s="8"/>
      <c r="K359" s="8">
        <f>+I359*J359</f>
        <v>0</v>
      </c>
      <c r="L359" s="8">
        <f>+E359+H359+K359</f>
        <v>0</v>
      </c>
      <c r="O359" s="89" t="s">
        <v>13</v>
      </c>
      <c r="P359" s="90"/>
      <c r="Q359" s="91"/>
    </row>
    <row r="360" spans="1:17" x14ac:dyDescent="0.25">
      <c r="A360" s="5" t="s">
        <v>14</v>
      </c>
      <c r="B360" s="6">
        <v>46297</v>
      </c>
      <c r="C360" s="7"/>
      <c r="D360" s="8"/>
      <c r="E360" s="8">
        <f t="shared" si="57"/>
        <v>0</v>
      </c>
      <c r="F360" s="9"/>
      <c r="G360" s="8">
        <f t="shared" si="58"/>
        <v>0</v>
      </c>
      <c r="H360" s="8">
        <f t="shared" ref="H360:H373" si="59">+F360*G360</f>
        <v>0</v>
      </c>
      <c r="I360" s="9"/>
      <c r="J360" s="8"/>
      <c r="K360" s="8">
        <f t="shared" ref="K360:K373" si="60">+I360*J360</f>
        <v>0</v>
      </c>
      <c r="L360" s="8">
        <f t="shared" ref="L360:L373" si="61">+E360+H360+K360</f>
        <v>0</v>
      </c>
      <c r="O360" s="10" t="s">
        <v>15</v>
      </c>
      <c r="P360" s="92"/>
      <c r="Q360" s="93"/>
    </row>
    <row r="361" spans="1:17" x14ac:dyDescent="0.25">
      <c r="A361" s="5" t="s">
        <v>17</v>
      </c>
      <c r="B361" s="6">
        <v>46298</v>
      </c>
      <c r="C361" s="7"/>
      <c r="D361" s="8"/>
      <c r="E361" s="8">
        <f t="shared" si="57"/>
        <v>0</v>
      </c>
      <c r="F361" s="9"/>
      <c r="G361" s="8">
        <f t="shared" si="58"/>
        <v>0</v>
      </c>
      <c r="H361" s="8">
        <f t="shared" si="59"/>
        <v>0</v>
      </c>
      <c r="I361" s="9"/>
      <c r="J361" s="8"/>
      <c r="K361" s="8">
        <f t="shared" si="60"/>
        <v>0</v>
      </c>
      <c r="L361" s="8">
        <f t="shared" si="61"/>
        <v>0</v>
      </c>
      <c r="O361" s="10" t="str">
        <f>+O12</f>
        <v>FECHA:         15/10/2026</v>
      </c>
      <c r="P361" s="11" t="s">
        <v>19</v>
      </c>
      <c r="Q361" s="12"/>
    </row>
    <row r="362" spans="1:17" x14ac:dyDescent="0.25">
      <c r="A362" s="5" t="s">
        <v>20</v>
      </c>
      <c r="B362" s="6">
        <v>46299</v>
      </c>
      <c r="C362" s="7"/>
      <c r="D362" s="8"/>
      <c r="E362" s="8">
        <f t="shared" si="57"/>
        <v>0</v>
      </c>
      <c r="F362" s="9"/>
      <c r="G362" s="8">
        <f t="shared" si="58"/>
        <v>0</v>
      </c>
      <c r="H362" s="8">
        <f t="shared" si="59"/>
        <v>0</v>
      </c>
      <c r="I362" s="9"/>
      <c r="J362" s="8"/>
      <c r="K362" s="8">
        <f t="shared" si="60"/>
        <v>0</v>
      </c>
      <c r="L362" s="8">
        <f t="shared" si="61"/>
        <v>0</v>
      </c>
      <c r="O362" s="10" t="s">
        <v>21</v>
      </c>
      <c r="P362" s="13">
        <f>+Q361/2</f>
        <v>0</v>
      </c>
      <c r="Q362" s="14"/>
    </row>
    <row r="363" spans="1:17" x14ac:dyDescent="0.25">
      <c r="A363" s="5" t="s">
        <v>22</v>
      </c>
      <c r="B363" s="6">
        <v>46300</v>
      </c>
      <c r="C363" s="7"/>
      <c r="D363" s="8"/>
      <c r="E363" s="8">
        <f t="shared" si="57"/>
        <v>0</v>
      </c>
      <c r="F363" s="9"/>
      <c r="G363" s="8">
        <f t="shared" si="58"/>
        <v>0</v>
      </c>
      <c r="H363" s="8">
        <f t="shared" si="59"/>
        <v>0</v>
      </c>
      <c r="I363" s="9"/>
      <c r="J363" s="8"/>
      <c r="K363" s="8">
        <f t="shared" si="60"/>
        <v>0</v>
      </c>
      <c r="L363" s="8">
        <f t="shared" si="61"/>
        <v>0</v>
      </c>
      <c r="O363" s="10" t="s">
        <v>23</v>
      </c>
      <c r="P363" s="13">
        <f>+H377</f>
        <v>0</v>
      </c>
      <c r="Q363" s="14"/>
    </row>
    <row r="364" spans="1:17" x14ac:dyDescent="0.25">
      <c r="A364" s="5" t="s">
        <v>24</v>
      </c>
      <c r="B364" s="6">
        <v>46301</v>
      </c>
      <c r="C364" s="7"/>
      <c r="D364" s="8"/>
      <c r="E364" s="8">
        <f t="shared" si="57"/>
        <v>0</v>
      </c>
      <c r="F364" s="9"/>
      <c r="G364" s="8">
        <f t="shared" si="58"/>
        <v>0</v>
      </c>
      <c r="H364" s="8">
        <f t="shared" si="59"/>
        <v>0</v>
      </c>
      <c r="I364" s="9"/>
      <c r="J364" s="8"/>
      <c r="K364" s="8">
        <f t="shared" si="60"/>
        <v>0</v>
      </c>
      <c r="L364" s="8">
        <f t="shared" si="61"/>
        <v>0</v>
      </c>
      <c r="O364" s="10" t="s">
        <v>9</v>
      </c>
      <c r="P364" s="13">
        <f>+K377</f>
        <v>0</v>
      </c>
      <c r="Q364" s="14"/>
    </row>
    <row r="365" spans="1:17" x14ac:dyDescent="0.25">
      <c r="A365" s="5" t="s">
        <v>25</v>
      </c>
      <c r="B365" s="6">
        <v>46302</v>
      </c>
      <c r="C365" s="7"/>
      <c r="D365" s="8"/>
      <c r="E365" s="8">
        <f t="shared" si="57"/>
        <v>0</v>
      </c>
      <c r="F365" s="9"/>
      <c r="G365" s="8">
        <f t="shared" si="58"/>
        <v>0</v>
      </c>
      <c r="H365" s="8">
        <f t="shared" si="59"/>
        <v>0</v>
      </c>
      <c r="I365" s="9"/>
      <c r="J365" s="8"/>
      <c r="K365" s="8">
        <f t="shared" si="60"/>
        <v>0</v>
      </c>
      <c r="L365" s="8">
        <f t="shared" si="61"/>
        <v>0</v>
      </c>
      <c r="O365" s="10" t="s">
        <v>26</v>
      </c>
      <c r="P365" s="13"/>
      <c r="Q365" s="14"/>
    </row>
    <row r="366" spans="1:17" x14ac:dyDescent="0.25">
      <c r="A366" s="5" t="s">
        <v>12</v>
      </c>
      <c r="B366" s="6">
        <v>46303</v>
      </c>
      <c r="C366" s="7"/>
      <c r="D366" s="8"/>
      <c r="E366" s="8">
        <f t="shared" si="57"/>
        <v>0</v>
      </c>
      <c r="F366" s="9"/>
      <c r="G366" s="8">
        <f t="shared" si="58"/>
        <v>0</v>
      </c>
      <c r="H366" s="8">
        <f t="shared" si="59"/>
        <v>0</v>
      </c>
      <c r="I366" s="9"/>
      <c r="J366" s="8"/>
      <c r="K366" s="8">
        <f t="shared" si="60"/>
        <v>0</v>
      </c>
      <c r="L366" s="8">
        <f t="shared" si="61"/>
        <v>0</v>
      </c>
      <c r="O366" s="17" t="s">
        <v>28</v>
      </c>
      <c r="P366" s="18">
        <f>SUM(P362:P365)</f>
        <v>0</v>
      </c>
      <c r="Q366" s="19">
        <f>+P366</f>
        <v>0</v>
      </c>
    </row>
    <row r="367" spans="1:17" x14ac:dyDescent="0.25">
      <c r="A367" s="5" t="s">
        <v>14</v>
      </c>
      <c r="B367" s="6">
        <v>46304</v>
      </c>
      <c r="C367" s="7"/>
      <c r="D367" s="8"/>
      <c r="E367" s="8">
        <f t="shared" si="57"/>
        <v>0</v>
      </c>
      <c r="F367" s="9"/>
      <c r="G367" s="8">
        <f t="shared" si="58"/>
        <v>0</v>
      </c>
      <c r="H367" s="8">
        <f t="shared" si="59"/>
        <v>0</v>
      </c>
      <c r="I367" s="9"/>
      <c r="J367" s="8"/>
      <c r="K367" s="8">
        <f t="shared" si="60"/>
        <v>0</v>
      </c>
      <c r="L367" s="8">
        <f t="shared" si="61"/>
        <v>0</v>
      </c>
      <c r="O367" s="83" t="s">
        <v>29</v>
      </c>
      <c r="P367" s="84"/>
      <c r="Q367" s="20"/>
    </row>
    <row r="368" spans="1:17" x14ac:dyDescent="0.25">
      <c r="A368" s="5" t="s">
        <v>17</v>
      </c>
      <c r="B368" s="6">
        <v>46305</v>
      </c>
      <c r="C368" s="7"/>
      <c r="D368" s="8"/>
      <c r="E368" s="8">
        <f t="shared" si="57"/>
        <v>0</v>
      </c>
      <c r="F368" s="9"/>
      <c r="G368" s="8">
        <f t="shared" si="58"/>
        <v>0</v>
      </c>
      <c r="H368" s="8">
        <f t="shared" si="59"/>
        <v>0</v>
      </c>
      <c r="I368" s="9"/>
      <c r="J368" s="8"/>
      <c r="K368" s="8">
        <f t="shared" si="60"/>
        <v>0</v>
      </c>
      <c r="L368" s="8">
        <f t="shared" si="61"/>
        <v>0</v>
      </c>
      <c r="O368" s="85" t="str">
        <f>+O19</f>
        <v>CCSS 10.83%</v>
      </c>
      <c r="P368" s="86"/>
      <c r="Q368" s="21"/>
    </row>
    <row r="369" spans="1:17" x14ac:dyDescent="0.25">
      <c r="A369" s="5" t="s">
        <v>20</v>
      </c>
      <c r="B369" s="6">
        <v>46306</v>
      </c>
      <c r="C369" s="7"/>
      <c r="D369" s="8"/>
      <c r="E369" s="8">
        <f t="shared" si="57"/>
        <v>0</v>
      </c>
      <c r="F369" s="9"/>
      <c r="G369" s="8">
        <f t="shared" si="58"/>
        <v>0</v>
      </c>
      <c r="H369" s="8">
        <f t="shared" si="59"/>
        <v>0</v>
      </c>
      <c r="I369" s="9"/>
      <c r="J369" s="8"/>
      <c r="K369" s="8">
        <f t="shared" si="60"/>
        <v>0</v>
      </c>
      <c r="L369" s="8">
        <f t="shared" si="61"/>
        <v>0</v>
      </c>
      <c r="O369" s="85" t="s">
        <v>31</v>
      </c>
      <c r="P369" s="86"/>
      <c r="Q369" s="21"/>
    </row>
    <row r="370" spans="1:17" x14ac:dyDescent="0.25">
      <c r="A370" s="5" t="s">
        <v>22</v>
      </c>
      <c r="B370" s="6">
        <v>46307</v>
      </c>
      <c r="C370" s="7"/>
      <c r="D370" s="8"/>
      <c r="E370" s="8">
        <f t="shared" si="57"/>
        <v>0</v>
      </c>
      <c r="F370" s="9"/>
      <c r="G370" s="8">
        <f t="shared" si="58"/>
        <v>0</v>
      </c>
      <c r="H370" s="8">
        <f t="shared" si="59"/>
        <v>0</v>
      </c>
      <c r="I370" s="9"/>
      <c r="J370" s="8"/>
      <c r="K370" s="8">
        <f t="shared" si="60"/>
        <v>0</v>
      </c>
      <c r="L370" s="8">
        <f t="shared" si="61"/>
        <v>0</v>
      </c>
      <c r="O370" s="85" t="s">
        <v>32</v>
      </c>
      <c r="P370" s="86"/>
      <c r="Q370" s="21"/>
    </row>
    <row r="371" spans="1:17" x14ac:dyDescent="0.25">
      <c r="A371" s="5" t="s">
        <v>24</v>
      </c>
      <c r="B371" s="6">
        <v>46308</v>
      </c>
      <c r="C371" s="7"/>
      <c r="D371" s="8"/>
      <c r="E371" s="8">
        <f t="shared" si="57"/>
        <v>0</v>
      </c>
      <c r="F371" s="9"/>
      <c r="G371" s="8">
        <f t="shared" si="58"/>
        <v>0</v>
      </c>
      <c r="H371" s="8">
        <f t="shared" si="59"/>
        <v>0</v>
      </c>
      <c r="I371" s="9"/>
      <c r="J371" s="8"/>
      <c r="K371" s="8">
        <f t="shared" si="60"/>
        <v>0</v>
      </c>
      <c r="L371" s="8">
        <f t="shared" si="61"/>
        <v>0</v>
      </c>
      <c r="O371" s="85" t="s">
        <v>33</v>
      </c>
      <c r="P371" s="86"/>
      <c r="Q371" s="21"/>
    </row>
    <row r="372" spans="1:17" x14ac:dyDescent="0.25">
      <c r="A372" s="5" t="s">
        <v>25</v>
      </c>
      <c r="B372" s="6">
        <v>46309</v>
      </c>
      <c r="C372" s="7"/>
      <c r="D372" s="8"/>
      <c r="E372" s="8">
        <f t="shared" si="57"/>
        <v>0</v>
      </c>
      <c r="F372" s="9"/>
      <c r="G372" s="8">
        <f t="shared" si="58"/>
        <v>0</v>
      </c>
      <c r="H372" s="8">
        <f t="shared" si="59"/>
        <v>0</v>
      </c>
      <c r="I372" s="9"/>
      <c r="J372" s="8"/>
      <c r="K372" s="8">
        <f t="shared" si="60"/>
        <v>0</v>
      </c>
      <c r="L372" s="8">
        <f t="shared" si="61"/>
        <v>0</v>
      </c>
      <c r="O372" s="85" t="s">
        <v>34</v>
      </c>
      <c r="P372" s="86"/>
      <c r="Q372" s="21">
        <f>SUM(Q368:Q371)</f>
        <v>0</v>
      </c>
    </row>
    <row r="373" spans="1:17" x14ac:dyDescent="0.25">
      <c r="A373" s="5" t="s">
        <v>12</v>
      </c>
      <c r="B373" s="6">
        <v>46310</v>
      </c>
      <c r="C373" s="7"/>
      <c r="D373" s="8"/>
      <c r="E373" s="8">
        <f t="shared" si="57"/>
        <v>0</v>
      </c>
      <c r="F373" s="9"/>
      <c r="G373" s="8">
        <f t="shared" si="58"/>
        <v>0</v>
      </c>
      <c r="H373" s="8">
        <f t="shared" si="59"/>
        <v>0</v>
      </c>
      <c r="I373" s="9"/>
      <c r="J373" s="8"/>
      <c r="K373" s="8">
        <f t="shared" si="60"/>
        <v>0</v>
      </c>
      <c r="L373" s="8">
        <f t="shared" si="61"/>
        <v>0</v>
      </c>
      <c r="O373" s="95"/>
      <c r="P373" s="96"/>
      <c r="Q373" s="14"/>
    </row>
    <row r="374" spans="1:17" ht="16.5" x14ac:dyDescent="0.35">
      <c r="A374" s="5"/>
      <c r="B374" s="6"/>
      <c r="C374" s="7"/>
      <c r="D374" s="8"/>
      <c r="E374" s="8"/>
      <c r="F374" s="9"/>
      <c r="G374" s="8"/>
      <c r="H374" s="8"/>
      <c r="I374" s="9"/>
      <c r="J374" s="8"/>
      <c r="K374" s="8"/>
      <c r="L374" s="8"/>
      <c r="O374" s="85" t="s">
        <v>35</v>
      </c>
      <c r="P374" s="86"/>
      <c r="Q374" s="22">
        <f>Q366-Q372</f>
        <v>0</v>
      </c>
    </row>
    <row r="375" spans="1:17" ht="16.5" x14ac:dyDescent="0.35">
      <c r="B375" s="25"/>
      <c r="C375" s="25"/>
      <c r="D375" s="25"/>
      <c r="E375" s="24"/>
      <c r="F375" s="25"/>
      <c r="G375" s="25"/>
      <c r="H375" s="8"/>
      <c r="I375" s="25"/>
      <c r="J375" s="25"/>
      <c r="K375" s="25"/>
      <c r="L375" s="26"/>
    </row>
    <row r="376" spans="1:17" ht="16.5" x14ac:dyDescent="0.35">
      <c r="B376" s="97"/>
      <c r="C376" s="98"/>
      <c r="D376" s="99"/>
      <c r="E376" s="27"/>
      <c r="F376" s="25"/>
      <c r="G376" s="25"/>
      <c r="H376" s="8"/>
      <c r="I376" s="25"/>
      <c r="J376" s="25"/>
      <c r="K376" s="25"/>
      <c r="L376" s="26"/>
      <c r="O376" s="100" t="s">
        <v>36</v>
      </c>
      <c r="P376" s="100"/>
      <c r="Q376" s="100"/>
    </row>
    <row r="377" spans="1:17" ht="16.5" x14ac:dyDescent="0.35">
      <c r="B377" s="102"/>
      <c r="C377" s="103"/>
      <c r="D377" s="104"/>
      <c r="E377" s="28"/>
      <c r="F377" s="25"/>
      <c r="G377" s="25"/>
      <c r="H377" s="24">
        <f>SUM(H359:H375)</f>
        <v>0</v>
      </c>
      <c r="I377" s="25"/>
      <c r="J377" s="25"/>
      <c r="K377" s="24">
        <f>SUM(K359:K375)</f>
        <v>0</v>
      </c>
      <c r="L377" s="28">
        <f>SUM(H377:K377)</f>
        <v>0</v>
      </c>
      <c r="O377" s="101" t="s">
        <v>37</v>
      </c>
      <c r="P377" s="101"/>
      <c r="Q377" s="101"/>
    </row>
    <row r="378" spans="1:17" ht="16.5" x14ac:dyDescent="0.35">
      <c r="B378" s="1"/>
      <c r="C378" s="1"/>
      <c r="D378" s="1"/>
      <c r="E378" s="40"/>
      <c r="F378" s="1"/>
      <c r="G378" s="1"/>
      <c r="H378" s="41"/>
      <c r="I378" s="48"/>
      <c r="J378" s="30"/>
      <c r="K378" s="49"/>
      <c r="L378" s="31"/>
    </row>
    <row r="379" spans="1:17" ht="16.5" x14ac:dyDescent="0.35">
      <c r="B379" s="1"/>
      <c r="C379" s="1"/>
      <c r="D379" s="1" t="s">
        <v>42</v>
      </c>
      <c r="E379" s="40"/>
      <c r="F379" s="1"/>
      <c r="G379" s="1"/>
      <c r="H379" s="41"/>
      <c r="I379" s="1"/>
      <c r="J379" s="30"/>
      <c r="K379" s="30"/>
      <c r="L379" s="50"/>
    </row>
    <row r="380" spans="1:17" ht="16.5" x14ac:dyDescent="0.35">
      <c r="B380" s="1"/>
      <c r="C380" s="1"/>
      <c r="D380" s="1"/>
      <c r="E380" s="42" t="s">
        <v>62</v>
      </c>
      <c r="F380" s="43"/>
      <c r="G380" s="43"/>
      <c r="H380" s="41"/>
      <c r="I380" s="1"/>
      <c r="J380" s="30"/>
      <c r="K380" s="30"/>
      <c r="L380" s="50"/>
    </row>
    <row r="381" spans="1:17" ht="16.5" x14ac:dyDescent="0.35">
      <c r="B381" s="1"/>
      <c r="C381" s="1"/>
      <c r="D381" s="1"/>
      <c r="E381" s="42"/>
      <c r="F381" s="43"/>
      <c r="G381" s="43"/>
      <c r="H381" s="41"/>
      <c r="I381" s="1"/>
      <c r="J381" s="30"/>
      <c r="K381" s="30"/>
      <c r="L381" s="50"/>
    </row>
    <row r="382" spans="1:17" ht="16.5" x14ac:dyDescent="0.35">
      <c r="B382" s="1"/>
      <c r="C382" s="1"/>
      <c r="D382" s="1"/>
      <c r="E382" s="42"/>
      <c r="F382" s="43"/>
      <c r="G382" s="43"/>
      <c r="H382" s="41"/>
      <c r="I382" s="1"/>
      <c r="J382" s="30"/>
      <c r="K382" s="30"/>
      <c r="L382" s="50"/>
    </row>
    <row r="383" spans="1:17" x14ac:dyDescent="0.25">
      <c r="B383" s="94" t="s">
        <v>74</v>
      </c>
      <c r="C383" s="94"/>
      <c r="D383" s="94"/>
      <c r="E383" s="94"/>
      <c r="F383" s="94"/>
      <c r="G383" s="94"/>
      <c r="H383" s="94"/>
      <c r="I383" s="94"/>
      <c r="J383" s="94"/>
      <c r="K383" s="94"/>
      <c r="L383" s="94"/>
    </row>
    <row r="384" spans="1:17" ht="16.5" x14ac:dyDescent="0.35">
      <c r="B384" s="1"/>
      <c r="C384" s="1"/>
      <c r="D384" s="1"/>
      <c r="E384" s="42"/>
      <c r="F384" s="43"/>
      <c r="G384" s="43"/>
      <c r="H384" s="41"/>
      <c r="I384" s="1"/>
      <c r="J384" s="30"/>
      <c r="K384" s="30"/>
      <c r="L384" s="50"/>
    </row>
    <row r="385" spans="1:17" x14ac:dyDescent="0.25">
      <c r="B385" s="87" t="s">
        <v>0</v>
      </c>
      <c r="C385" s="87"/>
      <c r="D385" s="87"/>
      <c r="E385" s="87"/>
      <c r="F385" s="87"/>
      <c r="G385" s="87"/>
      <c r="H385" s="87"/>
      <c r="I385" s="87"/>
      <c r="J385" s="87"/>
      <c r="K385" s="87"/>
      <c r="L385" s="87"/>
    </row>
    <row r="386" spans="1:17" x14ac:dyDescent="0.25">
      <c r="B386" s="87" t="s">
        <v>1</v>
      </c>
      <c r="C386" s="87"/>
      <c r="D386" s="87"/>
      <c r="E386" s="87"/>
      <c r="F386" s="87"/>
      <c r="G386" s="87"/>
      <c r="H386" s="87"/>
      <c r="I386" s="87"/>
      <c r="J386" s="87"/>
      <c r="K386" s="87"/>
      <c r="L386" s="87"/>
    </row>
    <row r="387" spans="1:17" x14ac:dyDescent="0.25"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</row>
    <row r="388" spans="1:17" ht="23.25" x14ac:dyDescent="0.25">
      <c r="B388" s="25" t="s">
        <v>3</v>
      </c>
      <c r="C388" s="4" t="s">
        <v>4</v>
      </c>
      <c r="D388" s="4" t="s">
        <v>5</v>
      </c>
      <c r="E388" s="4" t="s">
        <v>6</v>
      </c>
      <c r="F388" s="4" t="s">
        <v>7</v>
      </c>
      <c r="G388" s="4" t="s">
        <v>8</v>
      </c>
      <c r="H388" s="4" t="s">
        <v>6</v>
      </c>
      <c r="I388" s="4" t="s">
        <v>9</v>
      </c>
      <c r="J388" s="4" t="s">
        <v>10</v>
      </c>
      <c r="K388" s="4" t="s">
        <v>6</v>
      </c>
      <c r="L388" s="4" t="s">
        <v>11</v>
      </c>
      <c r="O388" s="89" t="s">
        <v>0</v>
      </c>
      <c r="P388" s="90"/>
      <c r="Q388" s="91"/>
    </row>
    <row r="389" spans="1:17" x14ac:dyDescent="0.25">
      <c r="A389" s="5" t="s">
        <v>12</v>
      </c>
      <c r="B389" s="6">
        <v>46296</v>
      </c>
      <c r="C389" s="7">
        <v>7</v>
      </c>
      <c r="D389" s="8">
        <v>1971.43</v>
      </c>
      <c r="E389" s="8">
        <f t="shared" ref="E389:E403" si="62">+C389*D389</f>
        <v>13800.01</v>
      </c>
      <c r="F389" s="9"/>
      <c r="G389" s="8">
        <f t="shared" ref="G389:G403" si="63">+D389*1.5</f>
        <v>2957.145</v>
      </c>
      <c r="H389" s="8">
        <f>+F389*G389</f>
        <v>0</v>
      </c>
      <c r="I389" s="9"/>
      <c r="J389" s="8"/>
      <c r="K389" s="8">
        <f>+I389*J389</f>
        <v>0</v>
      </c>
      <c r="L389" s="8">
        <f>+E389+H389+K389</f>
        <v>13800.01</v>
      </c>
      <c r="O389" s="89" t="s">
        <v>13</v>
      </c>
      <c r="P389" s="90"/>
      <c r="Q389" s="91"/>
    </row>
    <row r="390" spans="1:17" x14ac:dyDescent="0.25">
      <c r="A390" s="5" t="s">
        <v>14</v>
      </c>
      <c r="B390" s="6">
        <v>46297</v>
      </c>
      <c r="C390" s="7">
        <v>7</v>
      </c>
      <c r="D390" s="8">
        <v>1971.43</v>
      </c>
      <c r="E390" s="8">
        <f t="shared" si="62"/>
        <v>13800.01</v>
      </c>
      <c r="F390" s="9"/>
      <c r="G390" s="8">
        <f t="shared" si="63"/>
        <v>2957.145</v>
      </c>
      <c r="H390" s="8">
        <f t="shared" ref="H390:H403" si="64">+F390*G390</f>
        <v>0</v>
      </c>
      <c r="I390" s="9"/>
      <c r="J390" s="8"/>
      <c r="K390" s="8">
        <f t="shared" ref="K390:K403" si="65">+I390*J390</f>
        <v>0</v>
      </c>
      <c r="L390" s="8">
        <f t="shared" ref="L390:L403" si="66">+E390+H390+K390</f>
        <v>13800.01</v>
      </c>
      <c r="O390" s="10" t="s">
        <v>15</v>
      </c>
      <c r="P390" s="92" t="s">
        <v>75</v>
      </c>
      <c r="Q390" s="93"/>
    </row>
    <row r="391" spans="1:17" x14ac:dyDescent="0.25">
      <c r="A391" s="15" t="s">
        <v>17</v>
      </c>
      <c r="B391" s="16">
        <v>46298</v>
      </c>
      <c r="C391" s="7"/>
      <c r="D391" s="8">
        <v>1971.43</v>
      </c>
      <c r="E391" s="8">
        <f t="shared" si="62"/>
        <v>0</v>
      </c>
      <c r="F391" s="9"/>
      <c r="G391" s="8">
        <f t="shared" si="63"/>
        <v>2957.145</v>
      </c>
      <c r="H391" s="8">
        <f t="shared" si="64"/>
        <v>0</v>
      </c>
      <c r="I391" s="9"/>
      <c r="J391" s="8"/>
      <c r="K391" s="8">
        <f t="shared" si="65"/>
        <v>0</v>
      </c>
      <c r="L391" s="8">
        <f t="shared" si="66"/>
        <v>0</v>
      </c>
      <c r="M391" t="s">
        <v>76</v>
      </c>
      <c r="O391" s="10" t="str">
        <f>+O44</f>
        <v>FECHA:         15/10/2026</v>
      </c>
      <c r="P391" s="11" t="s">
        <v>19</v>
      </c>
      <c r="Q391" s="12">
        <f>+Q12</f>
        <v>419755.93</v>
      </c>
    </row>
    <row r="392" spans="1:17" x14ac:dyDescent="0.25">
      <c r="A392" s="15" t="s">
        <v>20</v>
      </c>
      <c r="B392" s="16">
        <v>46299</v>
      </c>
      <c r="C392" s="7"/>
      <c r="D392" s="8">
        <v>1971.43</v>
      </c>
      <c r="E392" s="8">
        <f t="shared" si="62"/>
        <v>0</v>
      </c>
      <c r="F392" s="9"/>
      <c r="G392" s="8">
        <f t="shared" si="63"/>
        <v>2957.145</v>
      </c>
      <c r="H392" s="8">
        <f t="shared" si="64"/>
        <v>0</v>
      </c>
      <c r="I392" s="9"/>
      <c r="J392" s="8"/>
      <c r="K392" s="8">
        <f t="shared" si="65"/>
        <v>0</v>
      </c>
      <c r="L392" s="8">
        <f t="shared" si="66"/>
        <v>0</v>
      </c>
      <c r="M392" t="s">
        <v>76</v>
      </c>
      <c r="O392" s="10" t="s">
        <v>21</v>
      </c>
      <c r="P392" s="13">
        <f>+Q391/2</f>
        <v>209877.965</v>
      </c>
      <c r="Q392" s="14"/>
    </row>
    <row r="393" spans="1:17" x14ac:dyDescent="0.25">
      <c r="A393" s="5" t="s">
        <v>22</v>
      </c>
      <c r="B393" s="6">
        <v>46300</v>
      </c>
      <c r="C393" s="7">
        <v>7</v>
      </c>
      <c r="D393" s="8">
        <v>1971.43</v>
      </c>
      <c r="E393" s="8">
        <f t="shared" si="62"/>
        <v>13800.01</v>
      </c>
      <c r="F393" s="9"/>
      <c r="G393" s="8">
        <f t="shared" si="63"/>
        <v>2957.145</v>
      </c>
      <c r="H393" s="8">
        <f t="shared" si="64"/>
        <v>0</v>
      </c>
      <c r="I393" s="9"/>
      <c r="J393" s="8"/>
      <c r="K393" s="8">
        <f t="shared" si="65"/>
        <v>0</v>
      </c>
      <c r="L393" s="8">
        <f t="shared" si="66"/>
        <v>13800.01</v>
      </c>
      <c r="M393" t="s">
        <v>72</v>
      </c>
      <c r="O393" s="10" t="s">
        <v>23</v>
      </c>
      <c r="P393" s="13">
        <f>+H407</f>
        <v>0</v>
      </c>
      <c r="Q393" s="14"/>
    </row>
    <row r="394" spans="1:17" x14ac:dyDescent="0.25">
      <c r="A394" s="5" t="s">
        <v>24</v>
      </c>
      <c r="B394" s="6">
        <v>46301</v>
      </c>
      <c r="C394" s="7">
        <v>7</v>
      </c>
      <c r="D394" s="8">
        <v>1971.43</v>
      </c>
      <c r="E394" s="8">
        <f t="shared" si="62"/>
        <v>13800.01</v>
      </c>
      <c r="F394" s="9"/>
      <c r="G394" s="8">
        <f t="shared" si="63"/>
        <v>2957.145</v>
      </c>
      <c r="H394" s="8">
        <f t="shared" si="64"/>
        <v>0</v>
      </c>
      <c r="I394" s="9"/>
      <c r="J394" s="8"/>
      <c r="K394" s="8">
        <f t="shared" si="65"/>
        <v>0</v>
      </c>
      <c r="L394" s="8">
        <f t="shared" si="66"/>
        <v>13800.01</v>
      </c>
      <c r="O394" s="10" t="s">
        <v>9</v>
      </c>
      <c r="P394" s="13">
        <f>+K407</f>
        <v>0</v>
      </c>
      <c r="Q394" s="14"/>
    </row>
    <row r="395" spans="1:17" x14ac:dyDescent="0.25">
      <c r="A395" s="5" t="s">
        <v>25</v>
      </c>
      <c r="B395" s="6">
        <v>46302</v>
      </c>
      <c r="C395" s="7">
        <v>7</v>
      </c>
      <c r="D395" s="8">
        <v>1971.43</v>
      </c>
      <c r="E395" s="8">
        <f t="shared" si="62"/>
        <v>13800.01</v>
      </c>
      <c r="F395" s="9"/>
      <c r="G395" s="8">
        <f t="shared" si="63"/>
        <v>2957.145</v>
      </c>
      <c r="H395" s="8">
        <f t="shared" si="64"/>
        <v>0</v>
      </c>
      <c r="I395" s="9"/>
      <c r="J395" s="8"/>
      <c r="K395" s="8">
        <f t="shared" si="65"/>
        <v>0</v>
      </c>
      <c r="L395" s="8">
        <f t="shared" si="66"/>
        <v>13800.01</v>
      </c>
      <c r="O395" s="10" t="s">
        <v>26</v>
      </c>
      <c r="P395" s="13"/>
      <c r="Q395" s="14"/>
    </row>
    <row r="396" spans="1:17" x14ac:dyDescent="0.25">
      <c r="A396" s="5" t="s">
        <v>12</v>
      </c>
      <c r="B396" s="6">
        <v>46303</v>
      </c>
      <c r="C396" s="7">
        <v>7</v>
      </c>
      <c r="D396" s="8">
        <v>1971.43</v>
      </c>
      <c r="E396" s="8">
        <f t="shared" si="62"/>
        <v>13800.01</v>
      </c>
      <c r="F396" s="9"/>
      <c r="G396" s="8">
        <f t="shared" si="63"/>
        <v>2957.145</v>
      </c>
      <c r="H396" s="8">
        <f t="shared" si="64"/>
        <v>0</v>
      </c>
      <c r="I396" s="9"/>
      <c r="J396" s="8"/>
      <c r="K396" s="8">
        <f t="shared" si="65"/>
        <v>0</v>
      </c>
      <c r="L396" s="8">
        <f t="shared" si="66"/>
        <v>13800.01</v>
      </c>
      <c r="O396" s="17" t="s">
        <v>28</v>
      </c>
      <c r="P396" s="18">
        <f>SUM(P392:P395)</f>
        <v>209877.965</v>
      </c>
      <c r="Q396" s="19">
        <f>+P396</f>
        <v>209877.965</v>
      </c>
    </row>
    <row r="397" spans="1:17" x14ac:dyDescent="0.25">
      <c r="A397" s="5" t="s">
        <v>14</v>
      </c>
      <c r="B397" s="6">
        <v>46304</v>
      </c>
      <c r="C397" s="7">
        <v>7</v>
      </c>
      <c r="D397" s="8">
        <v>1971.43</v>
      </c>
      <c r="E397" s="8">
        <f t="shared" si="62"/>
        <v>13800.01</v>
      </c>
      <c r="F397" s="9"/>
      <c r="G397" s="8">
        <f t="shared" si="63"/>
        <v>2957.145</v>
      </c>
      <c r="H397" s="8">
        <f t="shared" si="64"/>
        <v>0</v>
      </c>
      <c r="I397" s="9"/>
      <c r="J397" s="8"/>
      <c r="K397" s="8">
        <f t="shared" si="65"/>
        <v>0</v>
      </c>
      <c r="L397" s="8">
        <f t="shared" si="66"/>
        <v>13800.01</v>
      </c>
      <c r="O397" s="83" t="s">
        <v>29</v>
      </c>
      <c r="P397" s="84"/>
      <c r="Q397" s="20"/>
    </row>
    <row r="398" spans="1:17" x14ac:dyDescent="0.25">
      <c r="A398" s="5" t="s">
        <v>17</v>
      </c>
      <c r="B398" s="6">
        <v>46305</v>
      </c>
      <c r="C398" s="7">
        <v>7</v>
      </c>
      <c r="D398" s="8">
        <v>1971.43</v>
      </c>
      <c r="E398" s="8">
        <f t="shared" si="62"/>
        <v>13800.01</v>
      </c>
      <c r="F398" s="9"/>
      <c r="G398" s="8">
        <f t="shared" si="63"/>
        <v>2957.145</v>
      </c>
      <c r="H398" s="8">
        <f t="shared" si="64"/>
        <v>0</v>
      </c>
      <c r="I398" s="9"/>
      <c r="J398" s="8"/>
      <c r="K398" s="8">
        <f t="shared" si="65"/>
        <v>0</v>
      </c>
      <c r="L398" s="8">
        <f t="shared" si="66"/>
        <v>13800.01</v>
      </c>
      <c r="O398" s="85" t="str">
        <f>+O19</f>
        <v>CCSS 10.83%</v>
      </c>
      <c r="P398" s="86"/>
      <c r="Q398" s="21">
        <f>+Q19</f>
        <v>22729.783609500002</v>
      </c>
    </row>
    <row r="399" spans="1:17" x14ac:dyDescent="0.25">
      <c r="A399" s="5" t="s">
        <v>20</v>
      </c>
      <c r="B399" s="6">
        <v>46306</v>
      </c>
      <c r="C399" s="7">
        <v>7</v>
      </c>
      <c r="D399" s="8">
        <v>1971.43</v>
      </c>
      <c r="E399" s="8">
        <f t="shared" si="62"/>
        <v>13800.01</v>
      </c>
      <c r="F399" s="9"/>
      <c r="G399" s="8">
        <f t="shared" si="63"/>
        <v>2957.145</v>
      </c>
      <c r="H399" s="8">
        <f t="shared" si="64"/>
        <v>0</v>
      </c>
      <c r="I399" s="9"/>
      <c r="J399" s="8"/>
      <c r="K399" s="8">
        <f t="shared" si="65"/>
        <v>0</v>
      </c>
      <c r="L399" s="8">
        <f t="shared" si="66"/>
        <v>13800.01</v>
      </c>
      <c r="O399" s="85" t="s">
        <v>31</v>
      </c>
      <c r="P399" s="86"/>
      <c r="Q399" s="21">
        <v>27876</v>
      </c>
    </row>
    <row r="400" spans="1:17" x14ac:dyDescent="0.25">
      <c r="A400" s="5" t="s">
        <v>22</v>
      </c>
      <c r="B400" s="6">
        <v>46307</v>
      </c>
      <c r="C400" s="7">
        <v>7</v>
      </c>
      <c r="D400" s="8">
        <v>1971.43</v>
      </c>
      <c r="E400" s="8">
        <f t="shared" si="62"/>
        <v>13800.01</v>
      </c>
      <c r="F400" s="9"/>
      <c r="G400" s="8">
        <f t="shared" si="63"/>
        <v>2957.145</v>
      </c>
      <c r="H400" s="8">
        <f t="shared" si="64"/>
        <v>0</v>
      </c>
      <c r="I400" s="9"/>
      <c r="J400" s="8"/>
      <c r="K400" s="8">
        <f t="shared" si="65"/>
        <v>0</v>
      </c>
      <c r="L400" s="8">
        <f t="shared" si="66"/>
        <v>13800.01</v>
      </c>
      <c r="O400" s="85" t="s">
        <v>32</v>
      </c>
      <c r="P400" s="86"/>
      <c r="Q400" s="21"/>
    </row>
    <row r="401" spans="1:17" x14ac:dyDescent="0.25">
      <c r="A401" s="5" t="s">
        <v>24</v>
      </c>
      <c r="B401" s="6">
        <v>46308</v>
      </c>
      <c r="C401" s="7">
        <v>7</v>
      </c>
      <c r="D401" s="8">
        <v>1971.43</v>
      </c>
      <c r="E401" s="8">
        <f t="shared" si="62"/>
        <v>13800.01</v>
      </c>
      <c r="F401" s="9"/>
      <c r="G401" s="8">
        <f t="shared" si="63"/>
        <v>2957.145</v>
      </c>
      <c r="H401" s="8">
        <f t="shared" si="64"/>
        <v>0</v>
      </c>
      <c r="I401" s="9"/>
      <c r="J401" s="8"/>
      <c r="K401" s="8">
        <f t="shared" si="65"/>
        <v>0</v>
      </c>
      <c r="L401" s="8">
        <f t="shared" si="66"/>
        <v>13800.01</v>
      </c>
      <c r="O401" s="85" t="s">
        <v>33</v>
      </c>
      <c r="P401" s="86"/>
      <c r="Q401" s="21">
        <v>27600</v>
      </c>
    </row>
    <row r="402" spans="1:17" x14ac:dyDescent="0.25">
      <c r="A402" s="5" t="s">
        <v>25</v>
      </c>
      <c r="B402" s="6">
        <v>46309</v>
      </c>
      <c r="C402" s="7">
        <v>7</v>
      </c>
      <c r="D402" s="8">
        <v>1971.43</v>
      </c>
      <c r="E402" s="8">
        <f t="shared" si="62"/>
        <v>13800.01</v>
      </c>
      <c r="F402" s="9"/>
      <c r="G402" s="8">
        <f t="shared" si="63"/>
        <v>2957.145</v>
      </c>
      <c r="H402" s="8">
        <f t="shared" si="64"/>
        <v>0</v>
      </c>
      <c r="I402" s="9"/>
      <c r="J402" s="8"/>
      <c r="K402" s="8">
        <f t="shared" si="65"/>
        <v>0</v>
      </c>
      <c r="L402" s="8">
        <f t="shared" si="66"/>
        <v>13800.01</v>
      </c>
      <c r="O402" s="85" t="s">
        <v>34</v>
      </c>
      <c r="P402" s="86"/>
      <c r="Q402" s="21">
        <f>SUM(Q398:Q401)</f>
        <v>78205.783609500009</v>
      </c>
    </row>
    <row r="403" spans="1:17" x14ac:dyDescent="0.25">
      <c r="A403" s="5" t="s">
        <v>12</v>
      </c>
      <c r="B403" s="6">
        <v>46310</v>
      </c>
      <c r="C403" s="7">
        <v>7</v>
      </c>
      <c r="D403" s="8">
        <v>1971.43</v>
      </c>
      <c r="E403" s="8">
        <f t="shared" si="62"/>
        <v>13800.01</v>
      </c>
      <c r="F403" s="9"/>
      <c r="G403" s="8">
        <f t="shared" si="63"/>
        <v>2957.145</v>
      </c>
      <c r="H403" s="8">
        <f t="shared" si="64"/>
        <v>0</v>
      </c>
      <c r="I403" s="9"/>
      <c r="J403" s="8"/>
      <c r="K403" s="8">
        <f t="shared" si="65"/>
        <v>0</v>
      </c>
      <c r="L403" s="8">
        <f t="shared" si="66"/>
        <v>13800.01</v>
      </c>
      <c r="O403" s="95"/>
      <c r="P403" s="96"/>
      <c r="Q403" s="14"/>
    </row>
    <row r="404" spans="1:17" ht="16.5" x14ac:dyDescent="0.35">
      <c r="A404" s="5"/>
      <c r="B404" s="6"/>
      <c r="C404" s="7"/>
      <c r="D404" s="8"/>
      <c r="E404" s="8"/>
      <c r="F404" s="9"/>
      <c r="G404" s="8"/>
      <c r="H404" s="8"/>
      <c r="I404" s="9"/>
      <c r="J404" s="8"/>
      <c r="K404" s="8"/>
      <c r="L404" s="8"/>
      <c r="O404" s="85" t="s">
        <v>35</v>
      </c>
      <c r="P404" s="86"/>
      <c r="Q404" s="22">
        <f>Q396-Q402</f>
        <v>131672.18139049999</v>
      </c>
    </row>
    <row r="405" spans="1:17" ht="16.5" x14ac:dyDescent="0.35">
      <c r="B405" s="25"/>
      <c r="C405" s="25"/>
      <c r="D405" s="25"/>
      <c r="E405" s="24"/>
      <c r="F405" s="25"/>
      <c r="G405" s="25"/>
      <c r="H405" s="8"/>
      <c r="I405" s="25"/>
      <c r="J405" s="25"/>
      <c r="K405" s="25"/>
      <c r="L405" s="26"/>
    </row>
    <row r="406" spans="1:17" ht="16.5" x14ac:dyDescent="0.35">
      <c r="B406" s="97"/>
      <c r="C406" s="98"/>
      <c r="D406" s="99"/>
      <c r="E406" s="27"/>
      <c r="F406" s="25"/>
      <c r="G406" s="25"/>
      <c r="H406" s="8"/>
      <c r="I406" s="25"/>
      <c r="J406" s="25"/>
      <c r="K406" s="25"/>
      <c r="L406" s="26"/>
      <c r="O406" s="100" t="s">
        <v>36</v>
      </c>
      <c r="P406" s="100"/>
      <c r="Q406" s="100"/>
    </row>
    <row r="407" spans="1:17" ht="16.5" x14ac:dyDescent="0.35">
      <c r="B407" s="102"/>
      <c r="C407" s="103"/>
      <c r="D407" s="104"/>
      <c r="E407" s="28"/>
      <c r="F407" s="25"/>
      <c r="G407" s="25"/>
      <c r="H407" s="24">
        <f>SUM(H389:H405)</f>
        <v>0</v>
      </c>
      <c r="I407" s="25"/>
      <c r="J407" s="25"/>
      <c r="K407" s="24">
        <f>SUM(K389:K405)</f>
        <v>0</v>
      </c>
      <c r="L407" s="28">
        <f>SUM(H407:K407)</f>
        <v>0</v>
      </c>
      <c r="O407" s="101" t="s">
        <v>37</v>
      </c>
      <c r="P407" s="101"/>
      <c r="Q407" s="101"/>
    </row>
    <row r="408" spans="1:17" ht="16.5" x14ac:dyDescent="0.35">
      <c r="B408" s="1"/>
      <c r="C408" s="1"/>
      <c r="D408" s="1"/>
      <c r="E408" s="40"/>
      <c r="F408" s="1"/>
      <c r="G408" s="1"/>
      <c r="H408" s="41"/>
      <c r="I408" s="48"/>
      <c r="J408" s="30"/>
      <c r="K408" s="49"/>
      <c r="L408" s="31"/>
    </row>
    <row r="409" spans="1:17" ht="16.5" x14ac:dyDescent="0.35">
      <c r="B409" s="1"/>
      <c r="C409" s="1"/>
      <c r="D409" s="1" t="s">
        <v>42</v>
      </c>
      <c r="E409" s="40"/>
      <c r="F409" s="1"/>
      <c r="G409" s="1"/>
      <c r="H409" s="41"/>
      <c r="I409" s="1"/>
      <c r="J409" s="30"/>
      <c r="K409" s="30"/>
      <c r="L409" s="50"/>
    </row>
    <row r="410" spans="1:17" ht="16.5" x14ac:dyDescent="0.35">
      <c r="B410" s="1"/>
      <c r="C410" s="1"/>
      <c r="D410" s="1"/>
      <c r="E410" s="42" t="s">
        <v>62</v>
      </c>
      <c r="F410" s="43"/>
      <c r="G410" s="43"/>
      <c r="H410" s="41"/>
      <c r="I410" s="1"/>
      <c r="J410" s="30"/>
      <c r="K410" s="30"/>
      <c r="L410" s="50"/>
    </row>
    <row r="411" spans="1:17" ht="16.5" x14ac:dyDescent="0.35">
      <c r="B411" s="1"/>
      <c r="C411" s="1"/>
      <c r="D411" s="1"/>
      <c r="E411" s="42"/>
      <c r="F411" s="43"/>
      <c r="G411" s="43"/>
      <c r="H411" s="41"/>
      <c r="I411" s="1"/>
      <c r="J411" s="30"/>
      <c r="K411" s="30"/>
      <c r="L411" s="50"/>
    </row>
    <row r="412" spans="1:17" ht="16.5" x14ac:dyDescent="0.35">
      <c r="B412" s="1"/>
      <c r="C412" s="1"/>
      <c r="D412" s="1"/>
      <c r="E412" s="42"/>
      <c r="F412" s="43"/>
      <c r="G412" s="43"/>
      <c r="H412" s="41"/>
      <c r="I412" s="1"/>
      <c r="J412" s="30"/>
      <c r="K412" s="30"/>
      <c r="L412" s="50"/>
    </row>
    <row r="413" spans="1:17" x14ac:dyDescent="0.25">
      <c r="B413" s="94" t="s">
        <v>77</v>
      </c>
      <c r="C413" s="94"/>
      <c r="D413" s="94"/>
      <c r="E413" s="94"/>
      <c r="F413" s="94"/>
      <c r="G413" s="94"/>
      <c r="H413" s="94"/>
      <c r="I413" s="94"/>
      <c r="J413" s="94"/>
      <c r="K413" s="94"/>
      <c r="L413" s="94"/>
    </row>
    <row r="414" spans="1:17" ht="16.5" x14ac:dyDescent="0.35">
      <c r="B414" s="1"/>
      <c r="C414" s="1"/>
      <c r="D414" s="1"/>
      <c r="E414" s="42"/>
      <c r="F414" s="43"/>
      <c r="G414" s="43"/>
      <c r="H414" s="41"/>
      <c r="I414" s="1"/>
      <c r="J414" s="30"/>
      <c r="K414" s="30"/>
      <c r="L414" s="50"/>
    </row>
    <row r="415" spans="1:17" x14ac:dyDescent="0.25">
      <c r="B415" s="87" t="s">
        <v>0</v>
      </c>
      <c r="C415" s="87"/>
      <c r="D415" s="87"/>
      <c r="E415" s="87"/>
      <c r="F415" s="87"/>
      <c r="G415" s="87"/>
      <c r="H415" s="87"/>
      <c r="I415" s="87"/>
      <c r="J415" s="87"/>
      <c r="K415" s="87"/>
      <c r="L415" s="87"/>
    </row>
    <row r="416" spans="1:17" x14ac:dyDescent="0.25">
      <c r="B416" s="87" t="s">
        <v>1</v>
      </c>
      <c r="C416" s="87"/>
      <c r="D416" s="87"/>
      <c r="E416" s="87"/>
      <c r="F416" s="87"/>
      <c r="G416" s="87"/>
      <c r="H416" s="87"/>
      <c r="I416" s="87"/>
      <c r="J416" s="87"/>
      <c r="K416" s="87"/>
      <c r="L416" s="87"/>
    </row>
    <row r="417" spans="1:17" x14ac:dyDescent="0.25"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</row>
    <row r="418" spans="1:17" ht="23.25" x14ac:dyDescent="0.25">
      <c r="B418" s="25" t="s">
        <v>3</v>
      </c>
      <c r="C418" s="4" t="s">
        <v>4</v>
      </c>
      <c r="D418" s="4" t="s">
        <v>5</v>
      </c>
      <c r="E418" s="4" t="s">
        <v>6</v>
      </c>
      <c r="F418" s="4" t="s">
        <v>7</v>
      </c>
      <c r="G418" s="4" t="s">
        <v>8</v>
      </c>
      <c r="H418" s="4" t="s">
        <v>6</v>
      </c>
      <c r="I418" s="4" t="s">
        <v>9</v>
      </c>
      <c r="J418" s="4" t="s">
        <v>10</v>
      </c>
      <c r="K418" s="4" t="s">
        <v>6</v>
      </c>
      <c r="L418" s="4" t="s">
        <v>11</v>
      </c>
      <c r="O418" s="89" t="s">
        <v>0</v>
      </c>
      <c r="P418" s="90"/>
      <c r="Q418" s="91"/>
    </row>
    <row r="419" spans="1:17" x14ac:dyDescent="0.25">
      <c r="A419" s="5" t="s">
        <v>12</v>
      </c>
      <c r="B419" s="6">
        <v>46296</v>
      </c>
      <c r="C419" s="7">
        <v>7</v>
      </c>
      <c r="D419" s="8">
        <v>1971.43</v>
      </c>
      <c r="E419" s="8">
        <f t="shared" ref="E419:E433" si="67">+C419*D419</f>
        <v>13800.01</v>
      </c>
      <c r="F419" s="9"/>
      <c r="G419" s="8">
        <f t="shared" ref="G419:G433" si="68">+D419*1.5</f>
        <v>2957.145</v>
      </c>
      <c r="H419" s="8">
        <f>+F419*G419</f>
        <v>0</v>
      </c>
      <c r="I419" s="9"/>
      <c r="J419" s="8"/>
      <c r="K419" s="8">
        <f>+I419*J419</f>
        <v>0</v>
      </c>
      <c r="L419" s="8">
        <f>+E419+H419+K419</f>
        <v>13800.01</v>
      </c>
      <c r="O419" s="89" t="s">
        <v>13</v>
      </c>
      <c r="P419" s="90"/>
      <c r="Q419" s="91"/>
    </row>
    <row r="420" spans="1:17" x14ac:dyDescent="0.25">
      <c r="A420" s="33" t="s">
        <v>14</v>
      </c>
      <c r="B420" s="34">
        <v>46297</v>
      </c>
      <c r="C420" s="7">
        <v>4</v>
      </c>
      <c r="D420" s="8">
        <v>1971.43</v>
      </c>
      <c r="E420" s="8">
        <f t="shared" si="67"/>
        <v>7885.72</v>
      </c>
      <c r="F420" s="9"/>
      <c r="G420" s="8">
        <f t="shared" si="68"/>
        <v>2957.145</v>
      </c>
      <c r="H420" s="8">
        <f t="shared" ref="H420:H433" si="69">+F420*G420</f>
        <v>0</v>
      </c>
      <c r="I420" s="9"/>
      <c r="J420" s="8"/>
      <c r="K420" s="8">
        <f t="shared" ref="K420:K433" si="70">+I420*J420</f>
        <v>0</v>
      </c>
      <c r="L420" s="8">
        <f t="shared" ref="L420:L433" si="71">+E420+H420+K420</f>
        <v>7885.72</v>
      </c>
      <c r="M420" t="s">
        <v>78</v>
      </c>
      <c r="O420" s="10" t="s">
        <v>15</v>
      </c>
      <c r="P420" s="92" t="s">
        <v>79</v>
      </c>
      <c r="Q420" s="93"/>
    </row>
    <row r="421" spans="1:17" x14ac:dyDescent="0.25">
      <c r="A421" s="5" t="s">
        <v>17</v>
      </c>
      <c r="B421" s="6">
        <v>46298</v>
      </c>
      <c r="C421" s="7">
        <v>7</v>
      </c>
      <c r="D421" s="8">
        <v>1971.43</v>
      </c>
      <c r="E421" s="8">
        <f t="shared" si="67"/>
        <v>13800.01</v>
      </c>
      <c r="F421" s="9"/>
      <c r="G421" s="8">
        <f t="shared" si="68"/>
        <v>2957.145</v>
      </c>
      <c r="H421" s="8">
        <f t="shared" si="69"/>
        <v>0</v>
      </c>
      <c r="I421" s="9"/>
      <c r="J421" s="8"/>
      <c r="K421" s="8">
        <f t="shared" si="70"/>
        <v>0</v>
      </c>
      <c r="L421" s="8">
        <f t="shared" si="71"/>
        <v>13800.01</v>
      </c>
      <c r="O421" s="10" t="str">
        <f>+O12</f>
        <v>FECHA:         15/10/2026</v>
      </c>
      <c r="P421" s="11" t="s">
        <v>19</v>
      </c>
      <c r="Q421" s="12">
        <f>+Q12</f>
        <v>419755.93</v>
      </c>
    </row>
    <row r="422" spans="1:17" x14ac:dyDescent="0.25">
      <c r="A422" s="5" t="s">
        <v>20</v>
      </c>
      <c r="B422" s="6">
        <v>46299</v>
      </c>
      <c r="C422" s="7">
        <v>7</v>
      </c>
      <c r="D422" s="8">
        <v>1971.43</v>
      </c>
      <c r="E422" s="8">
        <f t="shared" si="67"/>
        <v>13800.01</v>
      </c>
      <c r="F422" s="9"/>
      <c r="G422" s="8">
        <f t="shared" si="68"/>
        <v>2957.145</v>
      </c>
      <c r="H422" s="8">
        <f t="shared" si="69"/>
        <v>0</v>
      </c>
      <c r="I422" s="9"/>
      <c r="J422" s="8"/>
      <c r="K422" s="8">
        <f t="shared" si="70"/>
        <v>0</v>
      </c>
      <c r="L422" s="8">
        <f t="shared" si="71"/>
        <v>13800.01</v>
      </c>
      <c r="O422" s="10" t="s">
        <v>21</v>
      </c>
      <c r="P422" s="13">
        <f>+Q421/2</f>
        <v>209877.965</v>
      </c>
      <c r="Q422" s="14"/>
    </row>
    <row r="423" spans="1:17" x14ac:dyDescent="0.25">
      <c r="A423" s="5" t="s">
        <v>22</v>
      </c>
      <c r="B423" s="6">
        <v>46300</v>
      </c>
      <c r="C423" s="7">
        <v>7</v>
      </c>
      <c r="D423" s="8">
        <v>1971.43</v>
      </c>
      <c r="E423" s="8">
        <f t="shared" si="67"/>
        <v>13800.01</v>
      </c>
      <c r="F423" s="9"/>
      <c r="G423" s="8">
        <f t="shared" si="68"/>
        <v>2957.145</v>
      </c>
      <c r="H423" s="8">
        <f t="shared" si="69"/>
        <v>0</v>
      </c>
      <c r="I423" s="9"/>
      <c r="J423" s="8"/>
      <c r="K423" s="8">
        <f t="shared" si="70"/>
        <v>0</v>
      </c>
      <c r="L423" s="8">
        <f t="shared" si="71"/>
        <v>13800.01</v>
      </c>
      <c r="O423" s="10" t="s">
        <v>23</v>
      </c>
      <c r="P423" s="13">
        <f>+H437</f>
        <v>0</v>
      </c>
      <c r="Q423" s="14"/>
    </row>
    <row r="424" spans="1:17" x14ac:dyDescent="0.25">
      <c r="A424" s="5" t="s">
        <v>24</v>
      </c>
      <c r="B424" s="6">
        <v>46301</v>
      </c>
      <c r="C424" s="7">
        <v>7</v>
      </c>
      <c r="D424" s="8">
        <v>1971.43</v>
      </c>
      <c r="E424" s="8">
        <f t="shared" si="67"/>
        <v>13800.01</v>
      </c>
      <c r="F424" s="9"/>
      <c r="G424" s="8">
        <f t="shared" si="68"/>
        <v>2957.145</v>
      </c>
      <c r="H424" s="8">
        <f t="shared" si="69"/>
        <v>0</v>
      </c>
      <c r="I424" s="9"/>
      <c r="J424" s="8"/>
      <c r="K424" s="8">
        <f t="shared" si="70"/>
        <v>0</v>
      </c>
      <c r="L424" s="8">
        <f t="shared" si="71"/>
        <v>13800.01</v>
      </c>
      <c r="O424" s="10" t="s">
        <v>9</v>
      </c>
      <c r="P424" s="13">
        <f>+K437</f>
        <v>0</v>
      </c>
      <c r="Q424" s="14"/>
    </row>
    <row r="425" spans="1:17" x14ac:dyDescent="0.25">
      <c r="A425" s="5" t="s">
        <v>25</v>
      </c>
      <c r="B425" s="6">
        <v>46302</v>
      </c>
      <c r="C425" s="7">
        <v>7</v>
      </c>
      <c r="D425" s="8">
        <v>1971.43</v>
      </c>
      <c r="E425" s="8">
        <f t="shared" si="67"/>
        <v>13800.01</v>
      </c>
      <c r="F425" s="9"/>
      <c r="G425" s="8">
        <f t="shared" si="68"/>
        <v>2957.145</v>
      </c>
      <c r="H425" s="8">
        <f t="shared" si="69"/>
        <v>0</v>
      </c>
      <c r="I425" s="9"/>
      <c r="J425" s="8"/>
      <c r="K425" s="8">
        <f t="shared" si="70"/>
        <v>0</v>
      </c>
      <c r="L425" s="8">
        <f t="shared" si="71"/>
        <v>13800.01</v>
      </c>
      <c r="O425" s="10" t="s">
        <v>26</v>
      </c>
      <c r="P425" s="13"/>
      <c r="Q425" s="14"/>
    </row>
    <row r="426" spans="1:17" x14ac:dyDescent="0.25">
      <c r="A426" s="5" t="s">
        <v>12</v>
      </c>
      <c r="B426" s="6">
        <v>46303</v>
      </c>
      <c r="C426" s="7">
        <v>7</v>
      </c>
      <c r="D426" s="8">
        <v>1971.43</v>
      </c>
      <c r="E426" s="8">
        <f t="shared" si="67"/>
        <v>13800.01</v>
      </c>
      <c r="F426" s="9"/>
      <c r="G426" s="8">
        <f t="shared" si="68"/>
        <v>2957.145</v>
      </c>
      <c r="H426" s="8">
        <f t="shared" si="69"/>
        <v>0</v>
      </c>
      <c r="I426" s="9"/>
      <c r="J426" s="8"/>
      <c r="K426" s="8">
        <f t="shared" si="70"/>
        <v>0</v>
      </c>
      <c r="L426" s="8">
        <f t="shared" si="71"/>
        <v>13800.01</v>
      </c>
      <c r="O426" s="17" t="s">
        <v>28</v>
      </c>
      <c r="P426" s="18">
        <f>SUM(P422:P425)</f>
        <v>209877.965</v>
      </c>
      <c r="Q426" s="19">
        <f>+P426</f>
        <v>209877.965</v>
      </c>
    </row>
    <row r="427" spans="1:17" x14ac:dyDescent="0.25">
      <c r="A427" s="5" t="s">
        <v>14</v>
      </c>
      <c r="B427" s="6">
        <v>46304</v>
      </c>
      <c r="C427" s="7">
        <v>7</v>
      </c>
      <c r="D427" s="8">
        <v>1971.43</v>
      </c>
      <c r="E427" s="8">
        <f t="shared" si="67"/>
        <v>13800.01</v>
      </c>
      <c r="F427" s="9"/>
      <c r="G427" s="8">
        <f t="shared" si="68"/>
        <v>2957.145</v>
      </c>
      <c r="H427" s="8">
        <f t="shared" si="69"/>
        <v>0</v>
      </c>
      <c r="I427" s="9"/>
      <c r="J427" s="8"/>
      <c r="K427" s="8">
        <f t="shared" si="70"/>
        <v>0</v>
      </c>
      <c r="L427" s="8">
        <f t="shared" si="71"/>
        <v>13800.01</v>
      </c>
      <c r="O427" s="83" t="s">
        <v>29</v>
      </c>
      <c r="P427" s="84"/>
      <c r="Q427" s="20"/>
    </row>
    <row r="428" spans="1:17" x14ac:dyDescent="0.25">
      <c r="A428" s="5" t="s">
        <v>17</v>
      </c>
      <c r="B428" s="6">
        <v>46305</v>
      </c>
      <c r="C428" s="7">
        <v>7</v>
      </c>
      <c r="D428" s="8">
        <v>1971.43</v>
      </c>
      <c r="E428" s="8">
        <f t="shared" si="67"/>
        <v>13800.01</v>
      </c>
      <c r="F428" s="9"/>
      <c r="G428" s="8">
        <f t="shared" si="68"/>
        <v>2957.145</v>
      </c>
      <c r="H428" s="8">
        <f t="shared" si="69"/>
        <v>0</v>
      </c>
      <c r="I428" s="9"/>
      <c r="J428" s="8"/>
      <c r="K428" s="8">
        <f t="shared" si="70"/>
        <v>0</v>
      </c>
      <c r="L428" s="8">
        <f t="shared" si="71"/>
        <v>13800.01</v>
      </c>
      <c r="O428" s="85" t="str">
        <f>+O19</f>
        <v>CCSS 10.83%</v>
      </c>
      <c r="P428" s="86"/>
      <c r="Q428" s="21">
        <f>+Q19</f>
        <v>22729.783609500002</v>
      </c>
    </row>
    <row r="429" spans="1:17" x14ac:dyDescent="0.25">
      <c r="A429" s="5" t="s">
        <v>20</v>
      </c>
      <c r="B429" s="6">
        <v>46306</v>
      </c>
      <c r="C429" s="7">
        <v>7</v>
      </c>
      <c r="D429" s="8">
        <v>1971.43</v>
      </c>
      <c r="E429" s="8">
        <f t="shared" si="67"/>
        <v>13800.01</v>
      </c>
      <c r="F429" s="9"/>
      <c r="G429" s="8">
        <f t="shared" si="68"/>
        <v>2957.145</v>
      </c>
      <c r="H429" s="8">
        <f t="shared" si="69"/>
        <v>0</v>
      </c>
      <c r="I429" s="9"/>
      <c r="J429" s="8"/>
      <c r="K429" s="8">
        <f t="shared" si="70"/>
        <v>0</v>
      </c>
      <c r="L429" s="8">
        <f t="shared" si="71"/>
        <v>13800.01</v>
      </c>
      <c r="O429" s="85" t="s">
        <v>31</v>
      </c>
      <c r="P429" s="86"/>
      <c r="Q429" s="21">
        <v>37953</v>
      </c>
    </row>
    <row r="430" spans="1:17" x14ac:dyDescent="0.25">
      <c r="A430" s="5" t="s">
        <v>22</v>
      </c>
      <c r="B430" s="6">
        <v>46307</v>
      </c>
      <c r="C430" s="7">
        <v>7</v>
      </c>
      <c r="D430" s="8">
        <v>1971.43</v>
      </c>
      <c r="E430" s="8">
        <f t="shared" si="67"/>
        <v>13800.01</v>
      </c>
      <c r="F430" s="9"/>
      <c r="G430" s="8">
        <f t="shared" si="68"/>
        <v>2957.145</v>
      </c>
      <c r="H430" s="8">
        <f t="shared" si="69"/>
        <v>0</v>
      </c>
      <c r="I430" s="9"/>
      <c r="J430" s="8"/>
      <c r="K430" s="8">
        <f t="shared" si="70"/>
        <v>0</v>
      </c>
      <c r="L430" s="8">
        <f t="shared" si="71"/>
        <v>13800.01</v>
      </c>
      <c r="O430" s="85" t="s">
        <v>32</v>
      </c>
      <c r="P430" s="86"/>
      <c r="Q430" s="21"/>
    </row>
    <row r="431" spans="1:17" x14ac:dyDescent="0.25">
      <c r="A431" s="5" t="s">
        <v>24</v>
      </c>
      <c r="B431" s="6">
        <v>46308</v>
      </c>
      <c r="C431" s="7">
        <v>7</v>
      </c>
      <c r="D431" s="8">
        <v>1971.43</v>
      </c>
      <c r="E431" s="8">
        <f t="shared" si="67"/>
        <v>13800.01</v>
      </c>
      <c r="F431" s="9"/>
      <c r="G431" s="8">
        <f t="shared" si="68"/>
        <v>2957.145</v>
      </c>
      <c r="H431" s="8">
        <f t="shared" si="69"/>
        <v>0</v>
      </c>
      <c r="I431" s="9"/>
      <c r="J431" s="8"/>
      <c r="K431" s="8">
        <f t="shared" si="70"/>
        <v>0</v>
      </c>
      <c r="L431" s="8">
        <f t="shared" si="71"/>
        <v>13800.01</v>
      </c>
      <c r="O431" s="85" t="s">
        <v>33</v>
      </c>
      <c r="P431" s="86"/>
      <c r="Q431" s="21">
        <v>5915</v>
      </c>
    </row>
    <row r="432" spans="1:17" x14ac:dyDescent="0.25">
      <c r="A432" s="5" t="s">
        <v>25</v>
      </c>
      <c r="B432" s="6">
        <v>46309</v>
      </c>
      <c r="C432" s="7">
        <v>7</v>
      </c>
      <c r="D432" s="8">
        <v>1971.43</v>
      </c>
      <c r="E432" s="8">
        <f t="shared" si="67"/>
        <v>13800.01</v>
      </c>
      <c r="F432" s="9"/>
      <c r="G432" s="8">
        <f t="shared" si="68"/>
        <v>2957.145</v>
      </c>
      <c r="H432" s="8">
        <f t="shared" si="69"/>
        <v>0</v>
      </c>
      <c r="I432" s="9"/>
      <c r="J432" s="8"/>
      <c r="K432" s="8">
        <f t="shared" si="70"/>
        <v>0</v>
      </c>
      <c r="L432" s="8">
        <f t="shared" si="71"/>
        <v>13800.01</v>
      </c>
      <c r="O432" s="85" t="s">
        <v>34</v>
      </c>
      <c r="P432" s="86"/>
      <c r="Q432" s="21">
        <f>SUM(Q428:Q431)</f>
        <v>66597.783609500009</v>
      </c>
    </row>
    <row r="433" spans="1:17" x14ac:dyDescent="0.25">
      <c r="A433" s="5" t="s">
        <v>12</v>
      </c>
      <c r="B433" s="6">
        <v>46310</v>
      </c>
      <c r="C433" s="7">
        <v>7</v>
      </c>
      <c r="D433" s="8">
        <v>1971.43</v>
      </c>
      <c r="E433" s="8">
        <f t="shared" si="67"/>
        <v>13800.01</v>
      </c>
      <c r="F433" s="9"/>
      <c r="G433" s="8">
        <f t="shared" si="68"/>
        <v>2957.145</v>
      </c>
      <c r="H433" s="8">
        <f t="shared" si="69"/>
        <v>0</v>
      </c>
      <c r="I433" s="9"/>
      <c r="J433" s="8"/>
      <c r="K433" s="8">
        <f t="shared" si="70"/>
        <v>0</v>
      </c>
      <c r="L433" s="8">
        <f t="shared" si="71"/>
        <v>13800.01</v>
      </c>
      <c r="O433" s="95"/>
      <c r="P433" s="96"/>
      <c r="Q433" s="14"/>
    </row>
    <row r="434" spans="1:17" ht="16.5" x14ac:dyDescent="0.35">
      <c r="A434" s="5"/>
      <c r="B434" s="6"/>
      <c r="C434" s="7"/>
      <c r="D434" s="8"/>
      <c r="E434" s="8"/>
      <c r="F434" s="9"/>
      <c r="G434" s="8"/>
      <c r="H434" s="8"/>
      <c r="I434" s="9"/>
      <c r="J434" s="8"/>
      <c r="K434" s="8"/>
      <c r="L434" s="8"/>
      <c r="O434" s="85" t="s">
        <v>35</v>
      </c>
      <c r="P434" s="86"/>
      <c r="Q434" s="22">
        <f>Q426-Q432</f>
        <v>143280.18139049999</v>
      </c>
    </row>
    <row r="435" spans="1:17" ht="16.5" x14ac:dyDescent="0.35">
      <c r="B435" s="25"/>
      <c r="C435" s="25"/>
      <c r="D435" s="25"/>
      <c r="E435" s="24"/>
      <c r="F435" s="25"/>
      <c r="G435" s="25"/>
      <c r="H435" s="8"/>
      <c r="I435" s="25"/>
      <c r="J435" s="25"/>
      <c r="K435" s="25"/>
      <c r="L435" s="26"/>
    </row>
    <row r="436" spans="1:17" ht="16.5" x14ac:dyDescent="0.35">
      <c r="B436" s="97"/>
      <c r="C436" s="98"/>
      <c r="D436" s="99"/>
      <c r="E436" s="27"/>
      <c r="F436" s="25"/>
      <c r="G436" s="25"/>
      <c r="H436" s="8"/>
      <c r="I436" s="25"/>
      <c r="J436" s="25"/>
      <c r="K436" s="25"/>
      <c r="L436" s="26"/>
      <c r="O436" s="100" t="s">
        <v>36</v>
      </c>
      <c r="P436" s="100"/>
      <c r="Q436" s="100"/>
    </row>
    <row r="437" spans="1:17" ht="16.5" x14ac:dyDescent="0.35">
      <c r="B437" s="102"/>
      <c r="C437" s="103"/>
      <c r="D437" s="104"/>
      <c r="E437" s="28"/>
      <c r="F437" s="25"/>
      <c r="G437" s="25"/>
      <c r="H437" s="24">
        <f>SUM(H419:H435)</f>
        <v>0</v>
      </c>
      <c r="I437" s="25"/>
      <c r="J437" s="25"/>
      <c r="K437" s="24">
        <f>SUM(K419:K435)</f>
        <v>0</v>
      </c>
      <c r="L437" s="28">
        <f>SUM(H437:K437)</f>
        <v>0</v>
      </c>
      <c r="O437" s="101" t="s">
        <v>37</v>
      </c>
      <c r="P437" s="101"/>
      <c r="Q437" s="101"/>
    </row>
    <row r="438" spans="1:17" ht="16.5" x14ac:dyDescent="0.35">
      <c r="B438" s="1"/>
      <c r="C438" s="1"/>
      <c r="D438" s="1"/>
      <c r="E438" s="40"/>
      <c r="F438" s="1"/>
      <c r="G438" s="1"/>
      <c r="H438" s="41"/>
      <c r="I438" s="48"/>
      <c r="J438" s="30"/>
      <c r="K438" s="49"/>
      <c r="L438" s="31"/>
    </row>
    <row r="439" spans="1:17" ht="16.5" x14ac:dyDescent="0.35">
      <c r="B439" s="1"/>
      <c r="C439" s="1"/>
      <c r="D439" s="1" t="s">
        <v>42</v>
      </c>
      <c r="E439" s="40"/>
      <c r="F439" s="1"/>
      <c r="G439" s="1"/>
      <c r="H439" s="41"/>
      <c r="I439" s="1"/>
      <c r="J439" s="30"/>
      <c r="K439" s="30"/>
      <c r="L439" s="50"/>
    </row>
    <row r="440" spans="1:17" ht="16.5" x14ac:dyDescent="0.35">
      <c r="B440" s="1"/>
      <c r="C440" s="1"/>
      <c r="D440" s="1"/>
      <c r="E440" s="42" t="s">
        <v>62</v>
      </c>
      <c r="F440" s="43"/>
      <c r="G440" s="43"/>
      <c r="H440" s="41"/>
      <c r="I440" s="1"/>
      <c r="J440" s="30"/>
      <c r="K440" s="30"/>
      <c r="L440" s="50"/>
    </row>
    <row r="441" spans="1:17" ht="16.5" x14ac:dyDescent="0.35">
      <c r="B441" s="1"/>
      <c r="C441" s="1"/>
      <c r="D441" s="1"/>
      <c r="E441" s="42"/>
      <c r="F441" s="43"/>
      <c r="G441" s="43"/>
      <c r="H441" s="41"/>
      <c r="I441" s="1"/>
      <c r="J441" s="30"/>
      <c r="K441" s="30"/>
      <c r="L441" s="50"/>
    </row>
    <row r="443" spans="1:17" ht="15.75" thickBot="1" x14ac:dyDescent="0.3">
      <c r="H443" s="1"/>
      <c r="I443" s="51" t="s">
        <v>80</v>
      </c>
      <c r="J443" s="51"/>
      <c r="K443" s="1"/>
      <c r="L443" s="1"/>
      <c r="O443" s="109" t="s">
        <v>81</v>
      </c>
      <c r="P443" s="109"/>
    </row>
    <row r="444" spans="1:17" ht="16.5" thickTop="1" thickBot="1" x14ac:dyDescent="0.3">
      <c r="C444" s="108" t="s">
        <v>82</v>
      </c>
      <c r="D444" s="108"/>
      <c r="G444" s="52" t="s">
        <v>83</v>
      </c>
      <c r="H444" s="53" t="s">
        <v>84</v>
      </c>
      <c r="I444" s="53" t="s">
        <v>85</v>
      </c>
      <c r="J444" s="53" t="s">
        <v>86</v>
      </c>
      <c r="K444" s="54" t="s">
        <v>87</v>
      </c>
      <c r="L444" s="55" t="s">
        <v>88</v>
      </c>
      <c r="O444" s="56"/>
      <c r="P444" s="57"/>
    </row>
    <row r="445" spans="1:17" ht="15.75" thickTop="1" x14ac:dyDescent="0.25">
      <c r="C445" s="58" t="s">
        <v>89</v>
      </c>
      <c r="D445" s="59">
        <f>+L28</f>
        <v>62100</v>
      </c>
      <c r="G445" s="60" t="s">
        <v>89</v>
      </c>
      <c r="H445" s="61">
        <f>+Q19</f>
        <v>22729.783609500002</v>
      </c>
      <c r="I445" s="62">
        <f>+Q20</f>
        <v>0</v>
      </c>
      <c r="J445" s="62">
        <f>+Q21</f>
        <v>0</v>
      </c>
      <c r="K445" s="62">
        <f>+Q22</f>
        <v>0</v>
      </c>
      <c r="L445" s="63">
        <f>SUM(H445:K445)</f>
        <v>22729.783609500002</v>
      </c>
      <c r="O445" s="64" t="s">
        <v>89</v>
      </c>
      <c r="P445" s="65">
        <f>+Q25</f>
        <v>249248.18139049996</v>
      </c>
    </row>
    <row r="446" spans="1:17" x14ac:dyDescent="0.25">
      <c r="C446" s="66" t="s">
        <v>90</v>
      </c>
      <c r="D446" s="67">
        <f>+L60</f>
        <v>7762.5</v>
      </c>
      <c r="G446" s="68" t="s">
        <v>91</v>
      </c>
      <c r="H446" s="69">
        <f>+Q51</f>
        <v>22729.783609500002</v>
      </c>
      <c r="I446" s="70">
        <f>+Q52</f>
        <v>5375</v>
      </c>
      <c r="J446" s="70" t="str">
        <f>+Q53</f>
        <v xml:space="preserve"> </v>
      </c>
      <c r="K446" s="70">
        <f>+Q54</f>
        <v>0</v>
      </c>
      <c r="L446" s="71">
        <f t="shared" ref="L446:L458" si="72">SUM(H446:K446)</f>
        <v>28104.783609500002</v>
      </c>
      <c r="O446" s="72" t="s">
        <v>91</v>
      </c>
      <c r="P446" s="73">
        <f>+Q57</f>
        <v>189535.68139049999</v>
      </c>
    </row>
    <row r="447" spans="1:17" x14ac:dyDescent="0.25">
      <c r="C447" s="66" t="s">
        <v>92</v>
      </c>
      <c r="D447" s="67">
        <f>+L91</f>
        <v>23287.5</v>
      </c>
      <c r="G447" s="60" t="s">
        <v>93</v>
      </c>
      <c r="H447" s="61">
        <f>+Q82</f>
        <v>22729.783609500002</v>
      </c>
      <c r="I447" s="62">
        <f>+Q83</f>
        <v>12124</v>
      </c>
      <c r="J447" s="62">
        <f>+Q84</f>
        <v>0</v>
      </c>
      <c r="K447" s="62">
        <f>+Q85</f>
        <v>3450</v>
      </c>
      <c r="L447" s="63">
        <f t="shared" si="72"/>
        <v>38303.783609500002</v>
      </c>
      <c r="O447" s="72" t="s">
        <v>93</v>
      </c>
      <c r="P447" s="73">
        <f>+Q88</f>
        <v>194861.68139049999</v>
      </c>
    </row>
    <row r="448" spans="1:17" x14ac:dyDescent="0.25">
      <c r="C448" s="66" t="s">
        <v>51</v>
      </c>
      <c r="D448" s="67">
        <f>+L125</f>
        <v>46000</v>
      </c>
      <c r="G448" s="68" t="s">
        <v>51</v>
      </c>
      <c r="H448" s="69">
        <f>+Q116</f>
        <v>22729.783609500002</v>
      </c>
      <c r="I448" s="70">
        <f>+Q117</f>
        <v>58358</v>
      </c>
      <c r="J448" s="70">
        <f>+Q118</f>
        <v>0</v>
      </c>
      <c r="K448" s="70">
        <f>+Q119</f>
        <v>27600</v>
      </c>
      <c r="L448" s="71">
        <f t="shared" si="72"/>
        <v>108687.78360950001</v>
      </c>
      <c r="O448" s="72" t="s">
        <v>51</v>
      </c>
      <c r="P448" s="73">
        <f>+Q122</f>
        <v>147190.18139049999</v>
      </c>
    </row>
    <row r="449" spans="3:16" x14ac:dyDescent="0.25">
      <c r="C449" s="66" t="s">
        <v>94</v>
      </c>
      <c r="D449" s="67">
        <f>+L157</f>
        <v>100912.5</v>
      </c>
      <c r="G449" s="60" t="s">
        <v>94</v>
      </c>
      <c r="H449" s="61">
        <f>+Q147</f>
        <v>22729.783609500002</v>
      </c>
      <c r="I449" s="62">
        <f>+Q148</f>
        <v>0</v>
      </c>
      <c r="J449" s="62">
        <f>+Q149</f>
        <v>0</v>
      </c>
      <c r="K449" s="62">
        <f>+Q150</f>
        <v>0</v>
      </c>
      <c r="L449" s="63">
        <f t="shared" si="72"/>
        <v>22729.783609500002</v>
      </c>
      <c r="O449" s="72" t="s">
        <v>94</v>
      </c>
      <c r="P449" s="73">
        <f>+Q153</f>
        <v>288060.68139049999</v>
      </c>
    </row>
    <row r="450" spans="3:16" x14ac:dyDescent="0.25">
      <c r="C450" s="66"/>
      <c r="D450" s="67">
        <f>+L189</f>
        <v>0</v>
      </c>
      <c r="G450" s="68"/>
      <c r="H450" s="69">
        <f>+Q181</f>
        <v>0</v>
      </c>
      <c r="I450" s="70">
        <f>+Q182</f>
        <v>0</v>
      </c>
      <c r="J450" s="70">
        <f>+Q183</f>
        <v>0</v>
      </c>
      <c r="K450" s="70">
        <f>+Q184</f>
        <v>0</v>
      </c>
      <c r="L450" s="71">
        <f t="shared" si="72"/>
        <v>0</v>
      </c>
      <c r="O450" s="72"/>
      <c r="P450" s="73">
        <f>+Q187</f>
        <v>0</v>
      </c>
    </row>
    <row r="451" spans="3:16" x14ac:dyDescent="0.25">
      <c r="C451" s="66" t="s">
        <v>95</v>
      </c>
      <c r="D451" s="67">
        <f>+L220</f>
        <v>67275</v>
      </c>
      <c r="G451" s="60" t="s">
        <v>95</v>
      </c>
      <c r="H451" s="61">
        <f>+Q211</f>
        <v>22729.783609500002</v>
      </c>
      <c r="I451" s="62">
        <f>+Q212</f>
        <v>4910</v>
      </c>
      <c r="J451" s="62">
        <f>+Q213</f>
        <v>0</v>
      </c>
      <c r="K451" s="62">
        <f>+Q214</f>
        <v>0</v>
      </c>
      <c r="L451" s="63">
        <f t="shared" si="72"/>
        <v>27639.783609500002</v>
      </c>
      <c r="O451" s="72" t="s">
        <v>95</v>
      </c>
      <c r="P451" s="73">
        <f>+Q217</f>
        <v>249513.18139049996</v>
      </c>
    </row>
    <row r="452" spans="3:16" x14ac:dyDescent="0.25">
      <c r="C452" s="66" t="s">
        <v>96</v>
      </c>
      <c r="D452" s="67">
        <f>+L254</f>
        <v>0</v>
      </c>
      <c r="G452" s="68" t="s">
        <v>96</v>
      </c>
      <c r="H452" s="69">
        <f>+Q245</f>
        <v>22729.783609500002</v>
      </c>
      <c r="I452" s="70">
        <f>+Q246</f>
        <v>0</v>
      </c>
      <c r="J452" s="70">
        <f>+Q247</f>
        <v>0</v>
      </c>
      <c r="K452" s="70">
        <f>+Q248</f>
        <v>0</v>
      </c>
      <c r="L452" s="71">
        <f t="shared" si="72"/>
        <v>22729.783609500002</v>
      </c>
      <c r="O452" s="72" t="s">
        <v>96</v>
      </c>
      <c r="P452" s="73">
        <f>+Q251</f>
        <v>187148.18139049999</v>
      </c>
    </row>
    <row r="453" spans="3:16" x14ac:dyDescent="0.25">
      <c r="C453" s="66" t="s">
        <v>97</v>
      </c>
      <c r="D453" s="67">
        <f>+L285</f>
        <v>62621.434999999998</v>
      </c>
      <c r="G453" s="60" t="s">
        <v>97</v>
      </c>
      <c r="H453" s="61">
        <f>+Q276</f>
        <v>22729.783609500002</v>
      </c>
      <c r="I453" s="62">
        <f>+Q277</f>
        <v>4836</v>
      </c>
      <c r="J453" s="62">
        <f>+Q278</f>
        <v>0</v>
      </c>
      <c r="K453" s="62">
        <f>+Q279</f>
        <v>13800</v>
      </c>
      <c r="L453" s="63">
        <f t="shared" si="72"/>
        <v>41365.783609500002</v>
      </c>
      <c r="O453" s="72" t="s">
        <v>97</v>
      </c>
      <c r="P453" s="73">
        <f>+Q282</f>
        <v>231133.61639050001</v>
      </c>
    </row>
    <row r="454" spans="3:16" x14ac:dyDescent="0.25">
      <c r="C454" s="66" t="s">
        <v>98</v>
      </c>
      <c r="D454" s="67">
        <f>+L316</f>
        <v>62100</v>
      </c>
      <c r="G454" s="68" t="s">
        <v>98</v>
      </c>
      <c r="H454" s="69">
        <f>+Q307</f>
        <v>22729.783609500002</v>
      </c>
      <c r="I454" s="70">
        <f>+Q308</f>
        <v>19097</v>
      </c>
      <c r="J454" s="70">
        <f>+Q309</f>
        <v>0</v>
      </c>
      <c r="K454" s="70">
        <f>+Q310</f>
        <v>0</v>
      </c>
      <c r="L454" s="71">
        <f>SUM(H454:K454)</f>
        <v>41826.783609500002</v>
      </c>
      <c r="O454" s="72" t="s">
        <v>98</v>
      </c>
      <c r="P454" s="73">
        <f>+Q313</f>
        <v>230151.18139049996</v>
      </c>
    </row>
    <row r="455" spans="3:16" x14ac:dyDescent="0.25">
      <c r="C455" s="66"/>
      <c r="D455" s="67">
        <f>+L377</f>
        <v>0</v>
      </c>
      <c r="G455" s="60"/>
      <c r="H455" s="61">
        <f>+Q368</f>
        <v>0</v>
      </c>
      <c r="I455" s="62">
        <f>+Q369</f>
        <v>0</v>
      </c>
      <c r="J455" s="62">
        <f>+Q370</f>
        <v>0</v>
      </c>
      <c r="K455" s="62">
        <f>+Q371</f>
        <v>0</v>
      </c>
      <c r="L455" s="63">
        <f t="shared" si="72"/>
        <v>0</v>
      </c>
      <c r="O455" s="72"/>
      <c r="P455" s="73">
        <f>+Q374</f>
        <v>0</v>
      </c>
    </row>
    <row r="456" spans="3:16" x14ac:dyDescent="0.25">
      <c r="C456" s="66" t="s">
        <v>69</v>
      </c>
      <c r="D456" s="67">
        <f>+L347</f>
        <v>22178.58</v>
      </c>
      <c r="G456" s="68" t="s">
        <v>99</v>
      </c>
      <c r="H456" s="69">
        <f>+Q338</f>
        <v>22729.783609500002</v>
      </c>
      <c r="I456" s="70">
        <f>+Q339</f>
        <v>0</v>
      </c>
      <c r="J456" s="70">
        <f>+Q370</f>
        <v>0</v>
      </c>
      <c r="K456" s="70">
        <f>+Q371</f>
        <v>0</v>
      </c>
      <c r="L456" s="71">
        <f>SUM(H456:K456)</f>
        <v>22729.783609500002</v>
      </c>
      <c r="O456" s="72" t="s">
        <v>69</v>
      </c>
      <c r="P456" s="73">
        <f>+Q344</f>
        <v>209326.76139049997</v>
      </c>
    </row>
    <row r="457" spans="3:16" x14ac:dyDescent="0.25">
      <c r="C457" s="66" t="s">
        <v>100</v>
      </c>
      <c r="D457" s="67">
        <f>+L407</f>
        <v>0</v>
      </c>
      <c r="G457" s="60" t="s">
        <v>101</v>
      </c>
      <c r="H457" s="61">
        <f>+Q398</f>
        <v>22729.783609500002</v>
      </c>
      <c r="I457" s="62">
        <f>+Q399</f>
        <v>27876</v>
      </c>
      <c r="J457" s="62">
        <f>+Q400</f>
        <v>0</v>
      </c>
      <c r="K457" s="62">
        <f>+Q401</f>
        <v>27600</v>
      </c>
      <c r="L457" s="63">
        <f>SUM(H457:K457)</f>
        <v>78205.783609500009</v>
      </c>
      <c r="O457" s="72" t="s">
        <v>101</v>
      </c>
      <c r="P457" s="73">
        <f>+Q404</f>
        <v>131672.18139049999</v>
      </c>
    </row>
    <row r="458" spans="3:16" x14ac:dyDescent="0.25">
      <c r="C458" s="66" t="s">
        <v>79</v>
      </c>
      <c r="D458" s="67">
        <f>+L437</f>
        <v>0</v>
      </c>
      <c r="G458" s="68" t="s">
        <v>79</v>
      </c>
      <c r="H458" s="69">
        <f>+Q428</f>
        <v>22729.783609500002</v>
      </c>
      <c r="I458" s="70">
        <f>+Q429</f>
        <v>37953</v>
      </c>
      <c r="J458" s="70">
        <f>+Q430</f>
        <v>0</v>
      </c>
      <c r="K458" s="70">
        <f>+Q431</f>
        <v>5915</v>
      </c>
      <c r="L458" s="71">
        <f t="shared" si="72"/>
        <v>66597.783609500009</v>
      </c>
      <c r="O458" s="72" t="s">
        <v>79</v>
      </c>
      <c r="P458" s="73">
        <f>+Q434</f>
        <v>143280.18139049999</v>
      </c>
    </row>
    <row r="459" spans="3:16" x14ac:dyDescent="0.25">
      <c r="C459" s="66" t="s">
        <v>102</v>
      </c>
      <c r="D459" s="67"/>
      <c r="G459" s="60" t="s">
        <v>102</v>
      </c>
      <c r="H459" s="61"/>
      <c r="I459" s="62"/>
      <c r="J459" s="62"/>
      <c r="K459" s="62"/>
      <c r="L459" s="63"/>
      <c r="O459" s="72" t="s">
        <v>102</v>
      </c>
      <c r="P459" s="73">
        <v>300000</v>
      </c>
    </row>
    <row r="460" spans="3:16" x14ac:dyDescent="0.25">
      <c r="C460" s="66"/>
      <c r="D460" s="74"/>
      <c r="G460" s="68"/>
      <c r="H460" s="69"/>
      <c r="I460" s="70"/>
      <c r="J460" s="70"/>
      <c r="K460" s="70"/>
      <c r="L460" s="71"/>
      <c r="O460" s="72"/>
      <c r="P460" s="73"/>
    </row>
    <row r="461" spans="3:16" ht="15.75" thickBot="1" x14ac:dyDescent="0.3">
      <c r="C461" s="75"/>
      <c r="D461" s="76">
        <f>SUM(D445:D460)</f>
        <v>454237.51500000001</v>
      </c>
      <c r="G461" s="77"/>
      <c r="H461" s="78">
        <f>SUM(H445:H460)</f>
        <v>272757.40331400005</v>
      </c>
      <c r="I461" s="79">
        <f>SUM(I445:I460)</f>
        <v>170529</v>
      </c>
      <c r="J461" s="79">
        <f>SUM(J445:J460)</f>
        <v>0</v>
      </c>
      <c r="K461" s="79">
        <f>SUM(K445:K460)</f>
        <v>78365</v>
      </c>
      <c r="L461" s="80">
        <f>SUM(L445:L460)</f>
        <v>521651.403314</v>
      </c>
      <c r="O461" s="81"/>
      <c r="P461" s="82">
        <f>SUM(P444:P460)</f>
        <v>2751121.6916859997</v>
      </c>
    </row>
    <row r="462" spans="3:16" ht="15.75" thickTop="1" x14ac:dyDescent="0.25"/>
  </sheetData>
  <mergeCells count="253">
    <mergeCell ref="C444:D444"/>
    <mergeCell ref="O434:P434"/>
    <mergeCell ref="B436:D436"/>
    <mergeCell ref="O436:Q436"/>
    <mergeCell ref="B437:D437"/>
    <mergeCell ref="O437:Q437"/>
    <mergeCell ref="O443:P443"/>
    <mergeCell ref="O428:P428"/>
    <mergeCell ref="O429:P429"/>
    <mergeCell ref="O430:P430"/>
    <mergeCell ref="O431:P431"/>
    <mergeCell ref="O432:P432"/>
    <mergeCell ref="O433:P433"/>
    <mergeCell ref="B415:L415"/>
    <mergeCell ref="B416:L416"/>
    <mergeCell ref="O418:Q418"/>
    <mergeCell ref="O419:Q419"/>
    <mergeCell ref="P420:Q420"/>
    <mergeCell ref="O427:P427"/>
    <mergeCell ref="O404:P404"/>
    <mergeCell ref="B406:D406"/>
    <mergeCell ref="O406:Q406"/>
    <mergeCell ref="B407:D407"/>
    <mergeCell ref="O407:Q407"/>
    <mergeCell ref="B413:L413"/>
    <mergeCell ref="O398:P398"/>
    <mergeCell ref="O399:P399"/>
    <mergeCell ref="O400:P400"/>
    <mergeCell ref="O401:P401"/>
    <mergeCell ref="O402:P402"/>
    <mergeCell ref="O403:P403"/>
    <mergeCell ref="B385:L385"/>
    <mergeCell ref="B386:L386"/>
    <mergeCell ref="O388:Q388"/>
    <mergeCell ref="O389:Q389"/>
    <mergeCell ref="P390:Q390"/>
    <mergeCell ref="O397:P397"/>
    <mergeCell ref="O374:P374"/>
    <mergeCell ref="B376:D376"/>
    <mergeCell ref="O376:Q376"/>
    <mergeCell ref="B377:D377"/>
    <mergeCell ref="O377:Q377"/>
    <mergeCell ref="B383:L383"/>
    <mergeCell ref="O368:P368"/>
    <mergeCell ref="O369:P369"/>
    <mergeCell ref="O370:P370"/>
    <mergeCell ref="O371:P371"/>
    <mergeCell ref="O372:P372"/>
    <mergeCell ref="O373:P373"/>
    <mergeCell ref="B355:L355"/>
    <mergeCell ref="B356:L356"/>
    <mergeCell ref="O358:Q358"/>
    <mergeCell ref="O359:Q359"/>
    <mergeCell ref="P360:Q360"/>
    <mergeCell ref="O367:P367"/>
    <mergeCell ref="O344:P344"/>
    <mergeCell ref="B346:D346"/>
    <mergeCell ref="O346:Q346"/>
    <mergeCell ref="B347:D347"/>
    <mergeCell ref="O347:Q347"/>
    <mergeCell ref="B353:L353"/>
    <mergeCell ref="O338:P338"/>
    <mergeCell ref="O339:P339"/>
    <mergeCell ref="O340:P340"/>
    <mergeCell ref="O341:P341"/>
    <mergeCell ref="O342:P342"/>
    <mergeCell ref="O343:P343"/>
    <mergeCell ref="B325:L325"/>
    <mergeCell ref="B326:L326"/>
    <mergeCell ref="O328:Q328"/>
    <mergeCell ref="O329:Q329"/>
    <mergeCell ref="P330:Q330"/>
    <mergeCell ref="O337:P337"/>
    <mergeCell ref="O313:P313"/>
    <mergeCell ref="B315:D315"/>
    <mergeCell ref="O315:Q315"/>
    <mergeCell ref="B316:D316"/>
    <mergeCell ref="O316:Q316"/>
    <mergeCell ref="B323:L323"/>
    <mergeCell ref="O307:P307"/>
    <mergeCell ref="O308:P308"/>
    <mergeCell ref="O309:P309"/>
    <mergeCell ref="O310:P310"/>
    <mergeCell ref="O311:P311"/>
    <mergeCell ref="O312:P312"/>
    <mergeCell ref="B294:L294"/>
    <mergeCell ref="B295:L295"/>
    <mergeCell ref="O297:Q297"/>
    <mergeCell ref="O298:Q298"/>
    <mergeCell ref="P299:Q299"/>
    <mergeCell ref="O306:P306"/>
    <mergeCell ref="O282:P282"/>
    <mergeCell ref="B284:D284"/>
    <mergeCell ref="O284:Q284"/>
    <mergeCell ref="B285:D285"/>
    <mergeCell ref="O285:Q285"/>
    <mergeCell ref="B293:L293"/>
    <mergeCell ref="O276:P276"/>
    <mergeCell ref="O277:P277"/>
    <mergeCell ref="O278:P278"/>
    <mergeCell ref="O279:P279"/>
    <mergeCell ref="O280:P280"/>
    <mergeCell ref="O281:P281"/>
    <mergeCell ref="B263:L263"/>
    <mergeCell ref="B264:L264"/>
    <mergeCell ref="O266:Q266"/>
    <mergeCell ref="O267:Q267"/>
    <mergeCell ref="P268:Q268"/>
    <mergeCell ref="O275:P275"/>
    <mergeCell ref="O251:P251"/>
    <mergeCell ref="B253:D253"/>
    <mergeCell ref="O253:Q253"/>
    <mergeCell ref="B254:D254"/>
    <mergeCell ref="O254:Q254"/>
    <mergeCell ref="B261:L261"/>
    <mergeCell ref="O245:P245"/>
    <mergeCell ref="O246:P246"/>
    <mergeCell ref="O247:P247"/>
    <mergeCell ref="O248:P248"/>
    <mergeCell ref="O249:P249"/>
    <mergeCell ref="O250:P250"/>
    <mergeCell ref="B232:L232"/>
    <mergeCell ref="B233:L233"/>
    <mergeCell ref="O235:Q235"/>
    <mergeCell ref="O236:Q236"/>
    <mergeCell ref="P237:Q237"/>
    <mergeCell ref="O244:P244"/>
    <mergeCell ref="O217:P217"/>
    <mergeCell ref="B219:D219"/>
    <mergeCell ref="O219:Q219"/>
    <mergeCell ref="B220:D220"/>
    <mergeCell ref="O220:Q220"/>
    <mergeCell ref="B230:L230"/>
    <mergeCell ref="O211:P211"/>
    <mergeCell ref="O212:P212"/>
    <mergeCell ref="O213:P213"/>
    <mergeCell ref="O214:P214"/>
    <mergeCell ref="O215:P215"/>
    <mergeCell ref="O216:P216"/>
    <mergeCell ref="B197:L197"/>
    <mergeCell ref="B199:L199"/>
    <mergeCell ref="O201:Q201"/>
    <mergeCell ref="O202:Q202"/>
    <mergeCell ref="P203:Q203"/>
    <mergeCell ref="O210:P210"/>
    <mergeCell ref="O187:P187"/>
    <mergeCell ref="B188:D188"/>
    <mergeCell ref="B189:D189"/>
    <mergeCell ref="O189:Q189"/>
    <mergeCell ref="O190:Q190"/>
    <mergeCell ref="B196:L196"/>
    <mergeCell ref="O181:P181"/>
    <mergeCell ref="O182:P182"/>
    <mergeCell ref="O183:P183"/>
    <mergeCell ref="O184:P184"/>
    <mergeCell ref="O185:P185"/>
    <mergeCell ref="O186:P186"/>
    <mergeCell ref="B167:L167"/>
    <mergeCell ref="B169:L169"/>
    <mergeCell ref="O171:Q171"/>
    <mergeCell ref="O172:Q172"/>
    <mergeCell ref="P173:Q173"/>
    <mergeCell ref="O180:P180"/>
    <mergeCell ref="O153:P153"/>
    <mergeCell ref="O155:Q155"/>
    <mergeCell ref="B156:D156"/>
    <mergeCell ref="O156:Q156"/>
    <mergeCell ref="B157:D157"/>
    <mergeCell ref="B166:L166"/>
    <mergeCell ref="O147:P147"/>
    <mergeCell ref="O148:P148"/>
    <mergeCell ref="O149:P149"/>
    <mergeCell ref="O150:P150"/>
    <mergeCell ref="O151:P151"/>
    <mergeCell ref="O152:P152"/>
    <mergeCell ref="B133:L133"/>
    <mergeCell ref="B135:L135"/>
    <mergeCell ref="O137:Q137"/>
    <mergeCell ref="O138:Q138"/>
    <mergeCell ref="P139:Q139"/>
    <mergeCell ref="O146:P146"/>
    <mergeCell ref="O122:P122"/>
    <mergeCell ref="B124:D124"/>
    <mergeCell ref="O124:Q124"/>
    <mergeCell ref="B125:D125"/>
    <mergeCell ref="O125:Q125"/>
    <mergeCell ref="B132:L132"/>
    <mergeCell ref="O116:P116"/>
    <mergeCell ref="O117:P117"/>
    <mergeCell ref="O118:P118"/>
    <mergeCell ref="O119:P119"/>
    <mergeCell ref="O120:P120"/>
    <mergeCell ref="O121:P121"/>
    <mergeCell ref="B102:L102"/>
    <mergeCell ref="B104:L104"/>
    <mergeCell ref="O106:Q106"/>
    <mergeCell ref="O107:Q107"/>
    <mergeCell ref="P108:Q108"/>
    <mergeCell ref="O115:P115"/>
    <mergeCell ref="O88:P88"/>
    <mergeCell ref="B90:D90"/>
    <mergeCell ref="O90:Q90"/>
    <mergeCell ref="B91:D91"/>
    <mergeCell ref="O91:Q91"/>
    <mergeCell ref="B101:L101"/>
    <mergeCell ref="O82:P82"/>
    <mergeCell ref="O83:P83"/>
    <mergeCell ref="O84:P84"/>
    <mergeCell ref="O85:P85"/>
    <mergeCell ref="O86:P86"/>
    <mergeCell ref="O87:P87"/>
    <mergeCell ref="B68:L68"/>
    <mergeCell ref="B70:L70"/>
    <mergeCell ref="O72:Q72"/>
    <mergeCell ref="O73:Q73"/>
    <mergeCell ref="P74:Q74"/>
    <mergeCell ref="O81:P81"/>
    <mergeCell ref="O57:P57"/>
    <mergeCell ref="B59:D59"/>
    <mergeCell ref="O59:Q59"/>
    <mergeCell ref="B60:D60"/>
    <mergeCell ref="O60:Q60"/>
    <mergeCell ref="B67:L67"/>
    <mergeCell ref="O51:P51"/>
    <mergeCell ref="O52:P52"/>
    <mergeCell ref="O53:P53"/>
    <mergeCell ref="O54:P54"/>
    <mergeCell ref="O55:P55"/>
    <mergeCell ref="O56:P56"/>
    <mergeCell ref="B37:L37"/>
    <mergeCell ref="B39:L39"/>
    <mergeCell ref="O41:Q41"/>
    <mergeCell ref="O42:Q42"/>
    <mergeCell ref="P43:Q43"/>
    <mergeCell ref="O50:P50"/>
    <mergeCell ref="O24:P24"/>
    <mergeCell ref="O25:P25"/>
    <mergeCell ref="B27:D27"/>
    <mergeCell ref="O27:Q27"/>
    <mergeCell ref="O28:Q28"/>
    <mergeCell ref="B36:L36"/>
    <mergeCell ref="O18:P18"/>
    <mergeCell ref="O19:P19"/>
    <mergeCell ref="O20:P20"/>
    <mergeCell ref="O21:P21"/>
    <mergeCell ref="O22:P22"/>
    <mergeCell ref="O23:P23"/>
    <mergeCell ref="B4:L4"/>
    <mergeCell ref="B5:L5"/>
    <mergeCell ref="B7:L7"/>
    <mergeCell ref="O9:Q9"/>
    <mergeCell ref="O10:Q10"/>
    <mergeCell ref="P11:Q11"/>
  </mergeCells>
  <pageMargins left="0.7" right="0.7" top="0.75" bottom="0.75" header="0.3" footer="0.3"/>
  <pageSetup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Repuestos</dc:creator>
  <cp:lastModifiedBy>cristhian barrantes</cp:lastModifiedBy>
  <cp:lastPrinted>2026-10-15T21:59:06Z</cp:lastPrinted>
  <dcterms:created xsi:type="dcterms:W3CDTF">2026-10-15T19:12:30Z</dcterms:created>
  <dcterms:modified xsi:type="dcterms:W3CDTF">2026-10-17T20:42:28Z</dcterms:modified>
</cp:coreProperties>
</file>