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pue\Documents\"/>
    </mc:Choice>
  </mc:AlternateContent>
  <xr:revisionPtr revIDLastSave="0" documentId="13_ncr:1_{4361187F-D450-451E-9D4C-F6E70D9DDC36}" xr6:coauthVersionLast="47" xr6:coauthVersionMax="47" xr10:uidLastSave="{00000000-0000-0000-0000-000000000000}"/>
  <bookViews>
    <workbookView xWindow="-120" yWindow="-120" windowWidth="20730" windowHeight="11040" xr2:uid="{732D40CA-8C27-4659-B71E-4796EAC96E1A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51" i="1" l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D46" i="1"/>
  <c r="C46" i="1"/>
  <c r="B46" i="1"/>
  <c r="P45" i="1"/>
  <c r="P46" i="1" s="1"/>
  <c r="O45" i="1"/>
  <c r="O46" i="1" s="1"/>
  <c r="N45" i="1"/>
  <c r="N46" i="1" s="1"/>
  <c r="M45" i="1"/>
  <c r="M46" i="1" s="1"/>
  <c r="L45" i="1"/>
  <c r="L46" i="1" s="1"/>
  <c r="K45" i="1"/>
  <c r="K46" i="1" s="1"/>
  <c r="J45" i="1"/>
  <c r="J46" i="1" s="1"/>
  <c r="I45" i="1"/>
  <c r="I46" i="1" s="1"/>
  <c r="H45" i="1"/>
  <c r="H46" i="1" s="1"/>
  <c r="G45" i="1"/>
  <c r="G46" i="1" s="1"/>
  <c r="F45" i="1"/>
  <c r="F46" i="1" s="1"/>
  <c r="E45" i="1"/>
  <c r="E46" i="1" s="1"/>
  <c r="D45" i="1"/>
  <c r="C45" i="1"/>
  <c r="B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L16" i="1"/>
  <c r="K16" i="1"/>
  <c r="J16" i="1"/>
  <c r="C16" i="1"/>
  <c r="P15" i="1"/>
  <c r="P16" i="1" s="1"/>
  <c r="O15" i="1"/>
  <c r="O16" i="1" s="1"/>
  <c r="N15" i="1"/>
  <c r="N16" i="1" s="1"/>
  <c r="M15" i="1"/>
  <c r="M16" i="1" s="1"/>
  <c r="L15" i="1"/>
  <c r="K15" i="1"/>
  <c r="J15" i="1"/>
  <c r="I15" i="1"/>
  <c r="I16" i="1" s="1"/>
  <c r="H15" i="1"/>
  <c r="H16" i="1" s="1"/>
  <c r="G15" i="1"/>
  <c r="G16" i="1" s="1"/>
  <c r="F15" i="1"/>
  <c r="F16" i="1" s="1"/>
  <c r="E15" i="1"/>
  <c r="E16" i="1" s="1"/>
  <c r="D15" i="1"/>
  <c r="D18" i="1" s="1"/>
  <c r="C15" i="1"/>
  <c r="B15" i="1"/>
  <c r="B16" i="1" s="1"/>
  <c r="P11" i="1"/>
  <c r="P12" i="1" s="1"/>
  <c r="O11" i="1"/>
  <c r="O12" i="1" s="1"/>
  <c r="N11" i="1"/>
  <c r="N12" i="1" s="1"/>
  <c r="M11" i="1"/>
  <c r="M12" i="1" s="1"/>
  <c r="L11" i="1"/>
  <c r="L12" i="1" s="1"/>
  <c r="K11" i="1"/>
  <c r="K12" i="1" s="1"/>
  <c r="J11" i="1"/>
  <c r="J12" i="1" s="1"/>
  <c r="I11" i="1"/>
  <c r="H11" i="1"/>
  <c r="H12" i="1" s="1"/>
  <c r="G11" i="1"/>
  <c r="G12" i="1" s="1"/>
  <c r="F11" i="1"/>
  <c r="F12" i="1" s="1"/>
  <c r="E11" i="1"/>
  <c r="E12" i="1" s="1"/>
  <c r="C11" i="1"/>
  <c r="C12" i="1" s="1"/>
  <c r="C17" i="1" s="1"/>
  <c r="B11" i="1"/>
  <c r="B12" i="1" s="1"/>
  <c r="C8" i="1"/>
  <c r="B8" i="1"/>
  <c r="P7" i="1"/>
  <c r="P8" i="1" s="1"/>
  <c r="O7" i="1"/>
  <c r="O18" i="1" s="1"/>
  <c r="N7" i="1"/>
  <c r="N18" i="1" s="1"/>
  <c r="M7" i="1"/>
  <c r="M18" i="1" s="1"/>
  <c r="L7" i="1"/>
  <c r="L18" i="1" s="1"/>
  <c r="K7" i="1"/>
  <c r="K18" i="1" s="1"/>
  <c r="J7" i="1"/>
  <c r="J8" i="1" s="1"/>
  <c r="I7" i="1"/>
  <c r="I8" i="1" s="1"/>
  <c r="H7" i="1"/>
  <c r="H8" i="1" s="1"/>
  <c r="G7" i="1"/>
  <c r="G18" i="1" s="1"/>
  <c r="F7" i="1"/>
  <c r="F18" i="1" s="1"/>
  <c r="E7" i="1"/>
  <c r="E18" i="1" s="1"/>
  <c r="C7" i="1"/>
  <c r="B7" i="1"/>
  <c r="P17" i="1" l="1"/>
  <c r="D49" i="1"/>
  <c r="Q46" i="1"/>
  <c r="G17" i="1"/>
  <c r="J17" i="1"/>
  <c r="J47" i="1" s="1"/>
  <c r="D48" i="1"/>
  <c r="E49" i="1"/>
  <c r="H18" i="1"/>
  <c r="F49" i="1"/>
  <c r="I18" i="1"/>
  <c r="G49" i="1"/>
  <c r="H17" i="1"/>
  <c r="H47" i="1" s="1"/>
  <c r="J18" i="1"/>
  <c r="I48" i="1"/>
  <c r="P18" i="1"/>
  <c r="E8" i="1"/>
  <c r="E17" i="1" s="1"/>
  <c r="E47" i="1" s="1"/>
  <c r="D16" i="1"/>
  <c r="D17" i="1" s="1"/>
  <c r="D47" i="1" s="1"/>
  <c r="F8" i="1"/>
  <c r="F17" i="1" s="1"/>
  <c r="F47" i="1" s="1"/>
  <c r="G8" i="1"/>
  <c r="C49" i="1"/>
  <c r="C47" i="1"/>
  <c r="G47" i="1"/>
  <c r="H48" i="1"/>
  <c r="I49" i="1"/>
  <c r="J49" i="1"/>
  <c r="K49" i="1"/>
  <c r="K8" i="1"/>
  <c r="K17" i="1" s="1"/>
  <c r="K48" i="1"/>
  <c r="L49" i="1"/>
  <c r="L8" i="1"/>
  <c r="L17" i="1" s="1"/>
  <c r="L48" i="1"/>
  <c r="P47" i="1"/>
  <c r="M49" i="1"/>
  <c r="M8" i="1"/>
  <c r="M17" i="1" s="1"/>
  <c r="M48" i="1"/>
  <c r="N49" i="1"/>
  <c r="N8" i="1"/>
  <c r="N17" i="1" s="1"/>
  <c r="N48" i="1"/>
  <c r="Q45" i="1"/>
  <c r="B48" i="1"/>
  <c r="O8" i="1"/>
  <c r="O17" i="1" s="1"/>
  <c r="O48" i="1"/>
  <c r="O49" i="1"/>
  <c r="C48" i="1"/>
  <c r="P48" i="1"/>
  <c r="P49" i="1"/>
  <c r="B17" i="1"/>
  <c r="E48" i="1"/>
  <c r="F48" i="1"/>
  <c r="G48" i="1"/>
  <c r="I12" i="1"/>
  <c r="I17" i="1" s="1"/>
  <c r="J48" i="1"/>
  <c r="B49" i="1"/>
  <c r="H49" i="1"/>
  <c r="B18" i="1"/>
  <c r="C18" i="1"/>
  <c r="O47" i="1" l="1"/>
  <c r="Q48" i="1"/>
  <c r="N47" i="1"/>
  <c r="M47" i="1"/>
  <c r="Q49" i="1"/>
  <c r="I47" i="1"/>
  <c r="L47" i="1"/>
  <c r="B47" i="1"/>
  <c r="K47" i="1"/>
  <c r="Q47" i="1" l="1"/>
</calcChain>
</file>

<file path=xl/sharedStrings.xml><?xml version="1.0" encoding="utf-8"?>
<sst xmlns="http://schemas.openxmlformats.org/spreadsheetml/2006/main" count="91" uniqueCount="69">
  <si>
    <t>GASOLINERA RIO TEMPISQUE, S.A.</t>
  </si>
  <si>
    <t>DESGLOSE DE PAGO Y AGUINALDOS 2026. (PAGO QUINCENAL.)</t>
  </si>
  <si>
    <t>MAINOR</t>
  </si>
  <si>
    <t>JOSE PABLO</t>
  </si>
  <si>
    <t xml:space="preserve">ANTONIO </t>
  </si>
  <si>
    <t>DRODIN</t>
  </si>
  <si>
    <t>EMMANUEL</t>
  </si>
  <si>
    <t>MAIKOL</t>
  </si>
  <si>
    <t>JEISON BARR.</t>
  </si>
  <si>
    <t>MEMO</t>
  </si>
  <si>
    <t>DIXXON</t>
  </si>
  <si>
    <t>ADAN CAST</t>
  </si>
  <si>
    <t>BRYANT</t>
  </si>
  <si>
    <t>JEFFERSON</t>
  </si>
  <si>
    <t>JOSE</t>
  </si>
  <si>
    <t>QUINCENAS  DIC. 2024</t>
  </si>
  <si>
    <t>Salario Qquincenal Dic.2025</t>
  </si>
  <si>
    <t>Salario ordina. Acum.Dic.2025</t>
  </si>
  <si>
    <t>Aguina. Acumulado Dic.2025</t>
  </si>
  <si>
    <t>Quincena del 01/01/26 al 30/06/26</t>
  </si>
  <si>
    <t>Salario quin. del 01/01/26 al 30/06/26</t>
  </si>
  <si>
    <t>Salario ordina 2026</t>
  </si>
  <si>
    <t>Agui. Acum. Del 01/07/26 al 31/12/26</t>
  </si>
  <si>
    <t>Quincena del 01/07/2026 al 30/11/26</t>
  </si>
  <si>
    <t>Salario acum. del 01/07/25 al 30/11/25</t>
  </si>
  <si>
    <t>Aguinaldo del 01/07/25 al 30/11/25</t>
  </si>
  <si>
    <t>Total aguin.de salario base 2025</t>
  </si>
  <si>
    <t>Total de Salarios ordinarios 2025</t>
  </si>
  <si>
    <t>QUINCENA</t>
  </si>
  <si>
    <t>EXTRAS</t>
  </si>
  <si>
    <t>EXTRAS DEL 01 AL 15/12/25</t>
  </si>
  <si>
    <t>EXTRAS DEL 16 AL 31/12/2025</t>
  </si>
  <si>
    <t>EXTRAS DEL 01/01/26 AL 15/01/26</t>
  </si>
  <si>
    <t>EXTRAS DEL 16/01/2026 AL 31/01/2026</t>
  </si>
  <si>
    <t>EXTRAS DEL 01/02/2026 AL 15/02/2026</t>
  </si>
  <si>
    <t>EXTRAS DEL 16/02/2026 AL 28/02/2026</t>
  </si>
  <si>
    <t>EXTRAS DEL 01/03/2026 AL 15/03/2026</t>
  </si>
  <si>
    <t>EXTRAS DEL 16/03/2025 AL 31/03/2026</t>
  </si>
  <si>
    <t>EXTRAS DEL 01/04/2025 AL 15/04/2026</t>
  </si>
  <si>
    <t>EXTRAS DEL 16/04/2025 AL 30/04/2026</t>
  </si>
  <si>
    <t>EXTRAS DEL 01/05/2025 AL 15/05/2026</t>
  </si>
  <si>
    <t>EXTRAS DEL 16/05/2025 AL 31/05/2026</t>
  </si>
  <si>
    <t>EXTRAS DEL 01/06/2025 AL 15/06/2026</t>
  </si>
  <si>
    <t>EXTRAS DEL 16/06/2025 AL 30/06/2026</t>
  </si>
  <si>
    <t>EXTRAS DEL 01/07/2025 AL 15/07/2026</t>
  </si>
  <si>
    <t>EXTRAS DEL 16/07/2025 AL 31/07/2026</t>
  </si>
  <si>
    <t>EXTRAS DEL 01/08/2025 AL 15/08/2026</t>
  </si>
  <si>
    <t>EXTRAS DEL 16/08/2025 AL 31/08/2026</t>
  </si>
  <si>
    <t>EXTRAS DEL 1/09/2025 AL 15/09/2026</t>
  </si>
  <si>
    <t>EXTRAS DEL 16/09/2025 AL 30/09/2026</t>
  </si>
  <si>
    <t>EXTRAS DEL 01/10/2025 AL 15 /10/2026</t>
  </si>
  <si>
    <t>EXTRAS DEL 16/10/2025 AL 31/10/2026</t>
  </si>
  <si>
    <t>EXTRAS DEL 01/11/2025 AL 15/11/2026</t>
  </si>
  <si>
    <t>EXTRAS DEL 16/11/2025 AL 30/11/2026</t>
  </si>
  <si>
    <t>Salario extra acumulado</t>
  </si>
  <si>
    <t>Aguinaldo por horas extras</t>
  </si>
  <si>
    <t>Total aguinaldo de período</t>
  </si>
  <si>
    <t>Salario total recibido</t>
  </si>
  <si>
    <t>Total pagado al día.</t>
  </si>
  <si>
    <t>Vacaciones pagadas</t>
  </si>
  <si>
    <t>TOTAL QUINCENAS</t>
  </si>
  <si>
    <t xml:space="preserve">MAINOR </t>
  </si>
  <si>
    <t>JERE</t>
  </si>
  <si>
    <t>DRODYN</t>
  </si>
  <si>
    <t xml:space="preserve">JEISON </t>
  </si>
  <si>
    <t>ADAN</t>
  </si>
  <si>
    <t>BRYAN</t>
  </si>
  <si>
    <t>Justificaciones y detalles &gt;&gt;&gt;&gt;&gt;&gt;&gt;</t>
  </si>
  <si>
    <t>INCAPACITADO DEL 21/05 AL 15/06/26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</si>
</sst>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₡&quot;* #,##0_-;\-&quot;₡&quot;* #,##0_-;_-&quot;₡&quot;* &quot;-&quot;_-;_-@_-"/>
    <numFmt numFmtId="41" formatCode="_-* #,##0_-;\-* #,##0_-;_-* &quot;-&quot;_-;_-@_-"/>
    <numFmt numFmtId="43" formatCode="_-* #,##0.00_-;\-* #,##0.00_-;_-* &quot;-&quot;??_-;_-@_-"/>
    <numFmt numFmtId="164" formatCode="_([$₡-140A]* #,##0_);_([$₡-140A]* \(#,##0\);_([$₡-140A]* &quot;-&quot;??_);_(@_)"/>
    <numFmt numFmtId="165" formatCode="_([$₡-140A]* #,##0.00_);_([$₡-140A]* \(#,##0.00\);_([$₡-140A]* &quot;-&quot;??_);_(@_)"/>
    <numFmt numFmtId="166" formatCode="_-[$₡-140A]* #,##0.00_-;\-[$₡-140A]* #,##0.00_-;_-[$₡-140A]* &quot;-&quot;??_-;_-@_-"/>
    <numFmt numFmtId="167" formatCode="_-[$₡-140A]* #,##0_-;\-[$₡-140A]* #,##0_-;_-[$₡-140A]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8"/>
      <color theme="1"/>
      <name val="Calibri"/>
      <family val="2"/>
      <scheme val="minor"/>
    </font>
    <font>
      <i/>
      <u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60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2" xfId="0" applyFont="1" applyBorder="1"/>
    <xf numFmtId="0" fontId="5" fillId="3" borderId="2" xfId="0" applyFont="1" applyFill="1" applyBorder="1" applyAlignment="1">
      <alignment horizontal="center"/>
    </xf>
    <xf numFmtId="0" fontId="5" fillId="4" borderId="2" xfId="0" applyFont="1" applyFill="1" applyBorder="1"/>
    <xf numFmtId="0" fontId="5" fillId="5" borderId="2" xfId="0" applyFont="1" applyFill="1" applyBorder="1" applyAlignment="1">
      <alignment horizontal="center"/>
    </xf>
    <xf numFmtId="164" fontId="5" fillId="6" borderId="2" xfId="1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wrapText="1"/>
    </xf>
    <xf numFmtId="164" fontId="5" fillId="5" borderId="2" xfId="1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wrapText="1"/>
    </xf>
    <xf numFmtId="3" fontId="5" fillId="6" borderId="2" xfId="0" applyNumberFormat="1" applyFont="1" applyFill="1" applyBorder="1" applyAlignment="1">
      <alignment horizontal="center"/>
    </xf>
    <xf numFmtId="3" fontId="5" fillId="7" borderId="2" xfId="0" applyNumberFormat="1" applyFont="1" applyFill="1" applyBorder="1" applyAlignment="1">
      <alignment horizontal="center"/>
    </xf>
    <xf numFmtId="41" fontId="5" fillId="8" borderId="2" xfId="1" applyNumberFormat="1" applyFont="1" applyFill="1" applyBorder="1" applyAlignment="1">
      <alignment horizontal="center"/>
    </xf>
    <xf numFmtId="165" fontId="5" fillId="8" borderId="2" xfId="1" applyNumberFormat="1" applyFont="1" applyFill="1" applyBorder="1" applyAlignment="1">
      <alignment horizontal="center"/>
    </xf>
    <xf numFmtId="164" fontId="5" fillId="8" borderId="2" xfId="1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164" fontId="5" fillId="9" borderId="2" xfId="0" applyNumberFormat="1" applyFont="1" applyFill="1" applyBorder="1" applyAlignment="1">
      <alignment horizontal="center"/>
    </xf>
    <xf numFmtId="14" fontId="5" fillId="9" borderId="2" xfId="0" applyNumberFormat="1" applyFont="1" applyFill="1" applyBorder="1" applyAlignment="1">
      <alignment horizontal="left"/>
    </xf>
    <xf numFmtId="164" fontId="5" fillId="9" borderId="2" xfId="0" applyNumberFormat="1" applyFont="1" applyFill="1" applyBorder="1" applyAlignment="1">
      <alignment horizontal="center" wrapText="1"/>
    </xf>
    <xf numFmtId="14" fontId="5" fillId="9" borderId="2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wrapText="1"/>
    </xf>
    <xf numFmtId="14" fontId="5" fillId="0" borderId="2" xfId="0" applyNumberFormat="1" applyFont="1" applyBorder="1"/>
    <xf numFmtId="165" fontId="5" fillId="9" borderId="2" xfId="1" applyNumberFormat="1" applyFont="1" applyFill="1" applyBorder="1"/>
    <xf numFmtId="164" fontId="5" fillId="0" borderId="0" xfId="0" applyNumberFormat="1" applyFont="1"/>
    <xf numFmtId="165" fontId="5" fillId="9" borderId="3" xfId="1" applyNumberFormat="1" applyFont="1" applyFill="1" applyBorder="1"/>
    <xf numFmtId="165" fontId="5" fillId="9" borderId="4" xfId="1" applyNumberFormat="1" applyFont="1" applyFill="1" applyBorder="1"/>
    <xf numFmtId="165" fontId="6" fillId="9" borderId="2" xfId="1" applyNumberFormat="1" applyFont="1" applyFill="1" applyBorder="1"/>
    <xf numFmtId="165" fontId="5" fillId="3" borderId="2" xfId="1" applyNumberFormat="1" applyFont="1" applyFill="1" applyBorder="1"/>
    <xf numFmtId="166" fontId="5" fillId="9" borderId="4" xfId="0" applyNumberFormat="1" applyFont="1" applyFill="1" applyBorder="1"/>
    <xf numFmtId="166" fontId="5" fillId="9" borderId="2" xfId="0" applyNumberFormat="1" applyFont="1" applyFill="1" applyBorder="1"/>
    <xf numFmtId="166" fontId="5" fillId="9" borderId="2" xfId="3" applyNumberFormat="1" applyFont="1" applyFill="1" applyBorder="1"/>
    <xf numFmtId="165" fontId="5" fillId="0" borderId="0" xfId="0" applyNumberFormat="1" applyFont="1"/>
    <xf numFmtId="164" fontId="5" fillId="9" borderId="2" xfId="0" applyNumberFormat="1" applyFont="1" applyFill="1" applyBorder="1"/>
    <xf numFmtId="164" fontId="6" fillId="9" borderId="2" xfId="0" applyNumberFormat="1" applyFont="1" applyFill="1" applyBorder="1"/>
    <xf numFmtId="164" fontId="6" fillId="9" borderId="3" xfId="0" applyNumberFormat="1" applyFont="1" applyFill="1" applyBorder="1"/>
    <xf numFmtId="165" fontId="0" fillId="0" borderId="0" xfId="0" applyNumberFormat="1"/>
    <xf numFmtId="0" fontId="5" fillId="10" borderId="2" xfId="0" applyFont="1" applyFill="1" applyBorder="1"/>
    <xf numFmtId="164" fontId="5" fillId="10" borderId="2" xfId="0" applyNumberFormat="1" applyFont="1" applyFill="1" applyBorder="1"/>
    <xf numFmtId="164" fontId="5" fillId="10" borderId="3" xfId="0" applyNumberFormat="1" applyFont="1" applyFill="1" applyBorder="1"/>
    <xf numFmtId="164" fontId="5" fillId="11" borderId="2" xfId="0" applyNumberFormat="1" applyFont="1" applyFill="1" applyBorder="1"/>
    <xf numFmtId="0" fontId="5" fillId="0" borderId="4" xfId="0" applyFont="1" applyBorder="1"/>
    <xf numFmtId="164" fontId="5" fillId="9" borderId="4" xfId="0" applyNumberFormat="1" applyFont="1" applyFill="1" applyBorder="1"/>
    <xf numFmtId="167" fontId="5" fillId="12" borderId="2" xfId="2" applyNumberFormat="1" applyFont="1" applyFill="1" applyBorder="1"/>
    <xf numFmtId="167" fontId="5" fillId="12" borderId="3" xfId="2" applyNumberFormat="1" applyFont="1" applyFill="1" applyBorder="1"/>
    <xf numFmtId="167" fontId="5" fillId="12" borderId="5" xfId="2" applyNumberFormat="1" applyFont="1" applyFill="1" applyBorder="1"/>
    <xf numFmtId="167" fontId="5" fillId="12" borderId="4" xfId="0" applyNumberFormat="1" applyFont="1" applyFill="1" applyBorder="1"/>
    <xf numFmtId="41" fontId="5" fillId="9" borderId="2" xfId="0" applyNumberFormat="1" applyFont="1" applyFill="1" applyBorder="1"/>
    <xf numFmtId="0" fontId="0" fillId="0" borderId="2" xfId="0" applyBorder="1"/>
    <xf numFmtId="41" fontId="5" fillId="13" borderId="2" xfId="0" applyNumberFormat="1" applyFont="1" applyFill="1" applyBorder="1" applyAlignment="1">
      <alignment horizontal="center"/>
    </xf>
    <xf numFmtId="0" fontId="5" fillId="13" borderId="2" xfId="0" applyFont="1" applyFill="1" applyBorder="1" applyAlignment="1">
      <alignment horizontal="center"/>
    </xf>
    <xf numFmtId="0" fontId="0" fillId="0" borderId="6" xfId="0" applyBorder="1"/>
    <xf numFmtId="0" fontId="7" fillId="0" borderId="7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8" fillId="0" borderId="7" xfId="0" applyFont="1" applyBorder="1" applyAlignment="1">
      <alignment wrapText="1"/>
    </xf>
    <xf numFmtId="166" fontId="5" fillId="0" borderId="7" xfId="0" applyNumberFormat="1" applyFont="1" applyBorder="1" applyAlignment="1">
      <alignment wrapText="1"/>
    </xf>
    <xf numFmtId="0" fontId="0" fillId="0" borderId="7" xfId="0" applyBorder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4">
    <cellStyle name="Millares" xfId="1" builtinId="3"/>
    <cellStyle name="Millares [0]" xfId="2" builtinId="6"/>
    <cellStyle name="Moneda [0]" xfId="3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E%20QUINCENAL%20DE%20PAG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3 JULIO"/>
      <sheetName val="20 JULIO"/>
      <sheetName val="27 JULI"/>
      <sheetName val="03 AGO"/>
      <sheetName val="10 AGO"/>
      <sheetName val="17 AGO"/>
      <sheetName val="24 AGO"/>
      <sheetName val="31AGO"/>
      <sheetName val="07 SET"/>
      <sheetName val="14 SET"/>
      <sheetName val="21 SET"/>
      <sheetName val="28 SET"/>
      <sheetName val="05 OCT."/>
      <sheetName val="12 OCT"/>
      <sheetName val="19 OCT."/>
      <sheetName val="26 OCT."/>
      <sheetName val="02 NOV."/>
      <sheetName val="09 NOV."/>
      <sheetName val="16 NOV."/>
      <sheetName val="23 NOV."/>
      <sheetName val="30 NOV."/>
      <sheetName val="07 DIC."/>
      <sheetName val="14 DIC."/>
      <sheetName val="21 DIC."/>
      <sheetName val="28 DIC."/>
      <sheetName val="04 EN.15"/>
      <sheetName val="11 ENE.15"/>
      <sheetName val="18 Ene.15"/>
      <sheetName val="25 ENE.15"/>
      <sheetName val="01 FEB.15"/>
      <sheetName val="08 Feb.15"/>
      <sheetName val="15 Feb.15"/>
      <sheetName val="22 Feb.15"/>
      <sheetName val="01 Mar.15"/>
      <sheetName val="08.Mar.15"/>
      <sheetName val="15 Mar.15"/>
      <sheetName val="AGUI.2015"/>
      <sheetName val="22.Mar.15"/>
      <sheetName val="29.MAR.15"/>
      <sheetName val="05.ABR.15"/>
      <sheetName val="12.ABR.15"/>
      <sheetName val="19.ABR.15"/>
      <sheetName val="26.ABR.15"/>
      <sheetName val="03.MAY.15"/>
      <sheetName val="10.MAY.15"/>
      <sheetName val="17.MAY.15"/>
      <sheetName val="24.MAY.15"/>
      <sheetName val="31.MAY.15"/>
      <sheetName val="07.JUN.15"/>
      <sheetName val="14.JUN.15"/>
      <sheetName val="21.JUN.15"/>
      <sheetName val="28.JUN.15"/>
      <sheetName val="05.JUL.15"/>
      <sheetName val="AGUI.N°2"/>
      <sheetName val="12.JUL.15"/>
      <sheetName val="19.JUL.15"/>
      <sheetName val="26.JUL.15"/>
      <sheetName val="01.AGO.15"/>
      <sheetName val="09.AGO.15"/>
      <sheetName val="16. AGO.15"/>
      <sheetName val="23.AGO.15"/>
      <sheetName val="30.AGO.15"/>
      <sheetName val="06.SET.15"/>
      <sheetName val="13.SET.15"/>
      <sheetName val="20.SET.15"/>
      <sheetName val="27.SET.15"/>
      <sheetName val="04.OCT.15"/>
      <sheetName val="11.OCT.15"/>
      <sheetName val="18.OCT.15"/>
      <sheetName val="25.OCT.15"/>
      <sheetName val="01.NOV.15"/>
      <sheetName val="08.NOV.15"/>
      <sheetName val="15.NOV.15"/>
      <sheetName val="22.NOV.15"/>
      <sheetName val="29.NOV.15"/>
      <sheetName val="06.DIC.15"/>
      <sheetName val="13.DIC.15"/>
      <sheetName val="20.DIC.15"/>
      <sheetName val="27.DIC.15"/>
      <sheetName val="03.ENE.16"/>
      <sheetName val="10.ENE.16"/>
      <sheetName val="17.ENE.16"/>
      <sheetName val="24.ENE.16"/>
      <sheetName val="31.ENE.16"/>
      <sheetName val="07.FEB.16"/>
      <sheetName val="14.FEB.16"/>
      <sheetName val="21.FEB.16"/>
      <sheetName val="29.FEB.16"/>
      <sheetName val="06. MAR.16"/>
      <sheetName val="13.MAR.16"/>
      <sheetName val="20.MAR.16"/>
      <sheetName val="27.MAR.16"/>
      <sheetName val="03.ABR.2016"/>
      <sheetName val="10.ABR.16"/>
      <sheetName val="17.ABR.16"/>
      <sheetName val="24.ABR.16"/>
      <sheetName val="01.MAY.16"/>
      <sheetName val="08.MAY.16"/>
      <sheetName val="15.MAY.16"/>
      <sheetName val="22.MAY.16"/>
      <sheetName val="29.MAY.16"/>
      <sheetName val="05.JUN.16"/>
      <sheetName val="12.JUN.16"/>
      <sheetName val="19.JUN.16"/>
      <sheetName val="26.JUN.16"/>
      <sheetName val="03.JUL.16"/>
      <sheetName val="10.JUL.16"/>
      <sheetName val="17.JUL.16"/>
      <sheetName val="24.JUL.16"/>
      <sheetName val="31.JUL.16"/>
      <sheetName val="07.AGO.16"/>
      <sheetName val="14.AGO.16"/>
      <sheetName val="21.AGO.16"/>
      <sheetName val="28.AGO.16 "/>
      <sheetName val="04.SET.16  "/>
      <sheetName val="11.SET.16"/>
      <sheetName val="18.SET.16"/>
      <sheetName val="25.SET.16"/>
      <sheetName val="02.OCT.16"/>
      <sheetName val="09.OCT.16"/>
      <sheetName val="16.OCT.16"/>
      <sheetName val="23.OCT.16"/>
      <sheetName val="30.OCT.16"/>
      <sheetName val="06.NOV.16"/>
      <sheetName val="13.NOV.16"/>
      <sheetName val="20.NOV.16"/>
      <sheetName val="AGUIN.2016"/>
      <sheetName val="27.NOV.16"/>
      <sheetName val="04.DIC.16"/>
      <sheetName val="11.DIC.16"/>
      <sheetName val="18.DIC.16"/>
      <sheetName val="25.DI.16"/>
      <sheetName val="01.ENE.17"/>
      <sheetName val="08.ENE.17"/>
      <sheetName val="15.ENE.17"/>
      <sheetName val="22.ENE.17"/>
      <sheetName val="29.ENE.17"/>
      <sheetName val="05.FEB.17"/>
      <sheetName val="12.FEB.17"/>
      <sheetName val="19.FEB.17"/>
      <sheetName val="26.FEB.17"/>
      <sheetName val="05.MAR17"/>
      <sheetName val="12.MAR.17"/>
      <sheetName val="19.MAR.17"/>
      <sheetName val="26.MAR.17"/>
      <sheetName val="02.ABR.17"/>
      <sheetName val="09.ABR.17"/>
      <sheetName val="16.ABR.17"/>
      <sheetName val="23.ABR.17"/>
      <sheetName val="30.ABR.17"/>
      <sheetName val="07.MAY.17"/>
      <sheetName val="14.MAY.17"/>
      <sheetName val="21.MAY.17"/>
      <sheetName val="28.MAY.17"/>
      <sheetName val="04.JUN.17"/>
      <sheetName val="11.JUN.17"/>
      <sheetName val="18.JUN.17"/>
      <sheetName val="25.JUN.17"/>
      <sheetName val="02.JUL.17"/>
      <sheetName val="10.JUL.17"/>
      <sheetName val="16.JUL.17"/>
      <sheetName val="23.JUL.17"/>
      <sheetName val="30.JUL.17"/>
      <sheetName val="06.AGO.17"/>
      <sheetName val="13.AGO.17"/>
      <sheetName val="20.AGO.17"/>
      <sheetName val="27.AGO.17"/>
      <sheetName val="03.SET.17"/>
      <sheetName val="10.SET.17"/>
      <sheetName val="17.SET.17"/>
      <sheetName val="24.SET.17"/>
      <sheetName val="01.OCT.17"/>
      <sheetName val="08.OCT.17"/>
      <sheetName val="15OCT.17"/>
      <sheetName val="22.OCT.17"/>
      <sheetName val="29.OCT.17"/>
      <sheetName val="05.NOV.17"/>
      <sheetName val="12.NOV.17"/>
      <sheetName val="19.NOV.17"/>
      <sheetName val="AGUI.2017"/>
      <sheetName val="26.NOV.17"/>
      <sheetName val="03.DIC.17"/>
      <sheetName val="10.DIC.17"/>
      <sheetName val="17.DIC.17"/>
      <sheetName val="24.DIC.17"/>
      <sheetName val="31.DIC.17"/>
      <sheetName val="07.ENE.18"/>
      <sheetName val="14.ENE.18"/>
      <sheetName val="21.ENE.18"/>
      <sheetName val="28.ENE.18"/>
      <sheetName val="04.FEB.18"/>
      <sheetName val="11.FEB.18"/>
      <sheetName val="18.FEB.18"/>
      <sheetName val="25.FEB.18"/>
      <sheetName val="04.MAR.18"/>
      <sheetName val="11.MAR.18"/>
      <sheetName val="18.MAR.18"/>
      <sheetName val="25.MAR.18"/>
      <sheetName val="01.AB.18"/>
      <sheetName val="08.AB.18"/>
      <sheetName val="15.AB.18"/>
      <sheetName val="22.AB.18"/>
      <sheetName val="29.AB.18"/>
      <sheetName val="06. MAY.18"/>
      <sheetName val="13. MAY.18"/>
      <sheetName val="20.MAY.18"/>
      <sheetName val="27.MAY.18"/>
      <sheetName val="03.JUN.18"/>
      <sheetName val="10.JUN.18"/>
      <sheetName val="17.JUN.18"/>
      <sheetName val="24.JUN.18"/>
      <sheetName val="01.JUL.18"/>
      <sheetName val="08.JUL.18"/>
      <sheetName val="15.JUL.18"/>
      <sheetName val="22.JUL.18"/>
      <sheetName val="29.JUL.18"/>
      <sheetName val="05.AGO.18"/>
      <sheetName val="12.AGO.18"/>
      <sheetName val="19.AGO.18"/>
      <sheetName val="26.AGO.18"/>
      <sheetName val="02.SET.18"/>
      <sheetName val="09.SET.18"/>
      <sheetName val="16.SET.18"/>
      <sheetName val="23.SET.18"/>
      <sheetName val="30.SET.18"/>
      <sheetName val="07.OCT.18"/>
      <sheetName val="14.OCT.18"/>
      <sheetName val="21.OCT.18"/>
      <sheetName val="28.OCT.18"/>
      <sheetName val="04.NOV.18"/>
      <sheetName val="11.NOV.18"/>
      <sheetName val="18.NOV.18"/>
      <sheetName val="25.NOV.18"/>
      <sheetName val="AGUI.2018"/>
      <sheetName val="02.DIC.18"/>
      <sheetName val="09.DIC.18"/>
      <sheetName val="16.DIC.18"/>
      <sheetName val="23.DIC.18"/>
      <sheetName val="30.DIC.18"/>
      <sheetName val="06.ENE.19"/>
      <sheetName val="13.ENE.19"/>
      <sheetName val="20.ENE.19"/>
      <sheetName val="27.ENE.19"/>
      <sheetName val="03.FEB.19"/>
      <sheetName val="10.FEB.19"/>
      <sheetName val="17.FEB.19"/>
      <sheetName val="24.FEB.19"/>
      <sheetName val="03.MAR.19"/>
      <sheetName val="10.MAR.19"/>
      <sheetName val="17.MAR.19"/>
      <sheetName val="24.MAR.19"/>
      <sheetName val="31.MAR.19"/>
      <sheetName val="07.ABR.19"/>
      <sheetName val="14.ABR.19"/>
      <sheetName val="21.ABR.19"/>
      <sheetName val="28.ABR.19"/>
      <sheetName val="05.MAY.19"/>
      <sheetName val="12.MAY.19"/>
      <sheetName val="19.MAY.19"/>
      <sheetName val="26.MAY.19"/>
      <sheetName val="02.JUN.19"/>
      <sheetName val="09.JUN.19"/>
      <sheetName val="16.JUN.19"/>
      <sheetName val="23.JUN.19"/>
      <sheetName val="30.JUN.19"/>
      <sheetName val="07.JUL.19"/>
      <sheetName val="14.JUL.19"/>
      <sheetName val="21.JUL.19"/>
      <sheetName val="28.JUL.19"/>
      <sheetName val="04.AGO.19"/>
      <sheetName val="11.AGO.19"/>
      <sheetName val="18.AGO.19"/>
      <sheetName val="25.AGO.19"/>
      <sheetName val="01.SET.19"/>
      <sheetName val="08.SET.19"/>
      <sheetName val="15.SET.19"/>
      <sheetName val="22.SET.19"/>
      <sheetName val="29.SET.19"/>
      <sheetName val="06.OCT.19"/>
      <sheetName val="13.OCT.19"/>
      <sheetName val="20.OCT.19"/>
      <sheetName val="27.OCT.19"/>
      <sheetName val="03.NOV.19"/>
      <sheetName val="10.NOV.19"/>
      <sheetName val="17.NOV.19"/>
      <sheetName val="24.NOV.19"/>
      <sheetName val="AGUI.2019"/>
      <sheetName val="01.DIC.19"/>
      <sheetName val="08.DIC.19"/>
      <sheetName val="15.DIC.19"/>
      <sheetName val="22.DIC.19"/>
      <sheetName val="29.DIC.19"/>
      <sheetName val="05.ENE.2020"/>
      <sheetName val="12.ENE.2020"/>
      <sheetName val="19.ENE.2020"/>
      <sheetName val="26.ENE.2020"/>
      <sheetName val="02.FEB.2020"/>
      <sheetName val="09.FEB.2020"/>
      <sheetName val="16.FEB.2020"/>
      <sheetName val="23.FEB.2020"/>
      <sheetName val="01.MAR.2020"/>
      <sheetName val="08.MAR.2020"/>
      <sheetName val="15.MAR.2020"/>
      <sheetName val="22.MAR.2020"/>
      <sheetName val="29.MAR.2020"/>
      <sheetName val="05.ABR.2020"/>
      <sheetName val="12.ABR.20"/>
      <sheetName val="19.ABR.2020"/>
      <sheetName val="26.ABR.2020"/>
      <sheetName val="03.MAY.2020"/>
      <sheetName val="10.MAY.2020"/>
      <sheetName val="17. MAY.2020"/>
      <sheetName val="24.MAY.2020"/>
      <sheetName val="31.MAY.2020"/>
      <sheetName val="07. JUN.2020"/>
      <sheetName val="14.JUN.2020"/>
      <sheetName val="21.JUN.2020"/>
      <sheetName val="28.JUN.2020"/>
      <sheetName val="05.JUL.2020"/>
      <sheetName val="12.JUL.2020"/>
      <sheetName val="19.JUL.2020"/>
      <sheetName val="26.JUL.2020"/>
      <sheetName val="02.AGO.2020"/>
      <sheetName val="09.AGO.2020"/>
      <sheetName val="16.AGO.2020"/>
      <sheetName val="23.AGO.2020"/>
      <sheetName val="30.AGO.2020"/>
      <sheetName val="06.SET.2020"/>
      <sheetName val="13.SET.20"/>
      <sheetName val="20.SET.2020"/>
      <sheetName val="27.SET.2020"/>
      <sheetName val="04.OCT.2020"/>
      <sheetName val="10.OCT.2020"/>
      <sheetName val="18.OCT.2020"/>
      <sheetName val="25.OCT.2020"/>
      <sheetName val="01.NOV.2020"/>
      <sheetName val="08.NOV.2020"/>
      <sheetName val="15.NOV.2020"/>
      <sheetName val="22.NOV.2020"/>
      <sheetName val="AGUI.2020"/>
      <sheetName val="29.NOV.2020"/>
      <sheetName val="06.DIC.2020"/>
      <sheetName val="13.DIC.2020"/>
      <sheetName val="20.DIC.2020"/>
      <sheetName val="27.DIC.2020"/>
      <sheetName val="03.ENE.2021"/>
      <sheetName val="10.ENE.2021"/>
      <sheetName val="17.ENE.2021"/>
      <sheetName val="24.ENE.2021"/>
      <sheetName val="31.ENE.2021"/>
      <sheetName val="07.FEB.2021"/>
      <sheetName val="14.FEB.2021"/>
      <sheetName val="21.FEB.2021"/>
      <sheetName val="28.FEB.2021"/>
      <sheetName val="07.MAR.2021"/>
      <sheetName val="14.MAR.2021"/>
      <sheetName val="21.MAR.2021"/>
      <sheetName val="28.MAR.2021"/>
      <sheetName val="04.ABR.2021"/>
      <sheetName val="11.ABR.2021"/>
      <sheetName val="18.ABR.2021"/>
      <sheetName val="25.ABR.2021"/>
      <sheetName val="02.MAY.2021"/>
      <sheetName val="09.MAY.2021"/>
      <sheetName val="16.MAY.2021"/>
      <sheetName val="23.MAY.2021"/>
      <sheetName val="30.MAY.2021"/>
      <sheetName val="06.JUN.2021"/>
      <sheetName val="13.JUN.2021"/>
      <sheetName val="20.JUN.2021"/>
      <sheetName val="27.JUN.2021"/>
      <sheetName val="04.JUL.2021"/>
      <sheetName val="11.JUL.2021"/>
      <sheetName val="18.JUL.2021"/>
      <sheetName val="25.JUL.2021"/>
      <sheetName val="01.AGO.2021"/>
      <sheetName val="08.AGO.2021"/>
      <sheetName val="15.AGO.2021"/>
      <sheetName val="22.AGO.2021"/>
      <sheetName val="29.AGO.2021"/>
      <sheetName val="05.SET.2021"/>
      <sheetName val="12.SET.2021"/>
      <sheetName val="19.SET.2021"/>
      <sheetName val="26.SET.2021"/>
      <sheetName val="03.OCT.2021"/>
      <sheetName val="10.OCT.2021"/>
      <sheetName val="17.OCT.2021"/>
      <sheetName val="24.OCT.2021"/>
      <sheetName val=" 31.OCT.2021"/>
      <sheetName val="07.NOV.2021"/>
      <sheetName val="14.NOV.2021"/>
      <sheetName val="21.NOV.2021"/>
      <sheetName val="28.NOV.2021"/>
      <sheetName val="AGUI.2021"/>
      <sheetName val="05.DIC.2021"/>
      <sheetName val="12.DIC.2021"/>
      <sheetName val="19.DIC.2021"/>
      <sheetName val="26.DIC.2021"/>
      <sheetName val="02.ENE.2022"/>
      <sheetName val="09.ENE.2022"/>
      <sheetName val="16.ENE.2022"/>
      <sheetName val="23.ENE.2022"/>
      <sheetName val="30.ENE.2022"/>
      <sheetName val="06.FEB.2022"/>
      <sheetName val="13.FEB.2022"/>
      <sheetName val="20.FEB.2022"/>
      <sheetName val="27.FEB.2022"/>
      <sheetName val="06.MAR.2022"/>
      <sheetName val="13.MAR.2022"/>
      <sheetName val="20.MAR.2022"/>
      <sheetName val="27.MAR.2022"/>
      <sheetName val="03.ABR.2022"/>
      <sheetName val="10.ABR.2022"/>
      <sheetName val="17.ABR.2022"/>
      <sheetName val="24.ABR.2022"/>
      <sheetName val="01.AMAY.2022"/>
      <sheetName val="08.MAY.2022"/>
      <sheetName val="15.MAY.2022"/>
      <sheetName val="22.MAY.2022"/>
      <sheetName val="29.MAY.2022"/>
      <sheetName val="05.JUN.2022"/>
      <sheetName val="12.JUN.2022"/>
      <sheetName val="19.JUN.2019"/>
      <sheetName val="26.JUN.2022"/>
      <sheetName val="03.JUL.2022"/>
      <sheetName val="10.JUL.2022"/>
      <sheetName val="17.JUL.2022"/>
      <sheetName val="24.JUL.2022"/>
      <sheetName val="31.JUL.2022"/>
      <sheetName val="07.AGO.2022"/>
      <sheetName val="14.AGO.2022"/>
      <sheetName val="21.AGO.2022"/>
      <sheetName val="28.AGO.2022"/>
      <sheetName val="04.SET.2022"/>
      <sheetName val="11.SET.2022"/>
      <sheetName val="18.SET.2022"/>
      <sheetName val="25.SET.2022"/>
      <sheetName val="02.OCT.2022"/>
      <sheetName val="09.OCT.2022"/>
      <sheetName val="16.OCT.2022"/>
      <sheetName val="23.OCT.2022"/>
      <sheetName val="30.OCT.2022"/>
      <sheetName val="06.NOV.2022"/>
      <sheetName val="13.NOV.2022"/>
      <sheetName val="20.NOV.2022"/>
      <sheetName val="27.NOV.2022"/>
      <sheetName val="AGUI.2022"/>
      <sheetName val="04.DIC.2022"/>
      <sheetName val="11.DIC.2022"/>
      <sheetName val="18.DIC.2022"/>
      <sheetName val="25.DIC.2022"/>
      <sheetName val="01.ENE.2023"/>
      <sheetName val="08.ENE.2023"/>
      <sheetName val="15.ENE.2023"/>
      <sheetName val="22.ENE.2023"/>
      <sheetName val="29.ENE.2023"/>
      <sheetName val="05.FEB.2023"/>
      <sheetName val="12.FEB.2023"/>
      <sheetName val="19.FEB. 2023"/>
      <sheetName val="26.FEB.2023"/>
      <sheetName val="05.MAR.2023"/>
      <sheetName val="12.MAR.2023"/>
      <sheetName val="19.MAR.2023"/>
      <sheetName val="26.MAR. 2023"/>
      <sheetName val="02.ABR.2023"/>
      <sheetName val="09.ABR.2023"/>
      <sheetName val="16.ABR.2023"/>
      <sheetName val="23.ABR.2023"/>
      <sheetName val="30.ABR.2023"/>
      <sheetName val="07.MAY.2023"/>
      <sheetName val="14.MAY.2023"/>
      <sheetName val="21.MAY.2023"/>
      <sheetName val="28.MAY.2023"/>
      <sheetName val="04.JUN.2023"/>
      <sheetName val="11.JUN.2023"/>
      <sheetName val="18.JUN.2022"/>
      <sheetName val="25.JUN.2023"/>
      <sheetName val="02. JUL.2023"/>
      <sheetName val="09.JUL.2023"/>
      <sheetName val="16.JUL.2023"/>
      <sheetName val="23.JUL.2023"/>
      <sheetName val="30.JUL.2023"/>
      <sheetName val="06.AGO.2023"/>
      <sheetName val="13.AGO.2023"/>
      <sheetName val="20.AGO.2023"/>
      <sheetName val="27.AGO.2023"/>
      <sheetName val="03.SET.2023"/>
      <sheetName val="10. SET.2023"/>
      <sheetName val="17.SET.2023"/>
      <sheetName val="24.SET.2023"/>
      <sheetName val="01.OCT.2023"/>
      <sheetName val="08.OCT.2023"/>
      <sheetName val="15.OCT.2023"/>
      <sheetName val="22.OCT.2023"/>
      <sheetName val="29.OCT.2023"/>
      <sheetName val="05.NOV.023"/>
      <sheetName val="12.NOV.2023"/>
      <sheetName val="19.NOV.2023"/>
      <sheetName val="26.NOV.2023"/>
      <sheetName val="AGUI.2023"/>
      <sheetName val="15.DIC.2023"/>
      <sheetName val="30.DIC.2023"/>
      <sheetName val="15.ENE.2024"/>
      <sheetName val="31.ENE.2024"/>
      <sheetName val="15.FEB.2024"/>
      <sheetName val="29.FEB.2024"/>
      <sheetName val="15.MAR.2024"/>
      <sheetName val="30.MAR.2024"/>
      <sheetName val="15.ABR.2024"/>
      <sheetName val="30.ABR.2024"/>
      <sheetName val="15.MAY.2024"/>
      <sheetName val="31.MAY.2024"/>
      <sheetName val="15.JUN.2024"/>
      <sheetName val="30.JUN.2024"/>
      <sheetName val="15.JUL.2024"/>
      <sheetName val="31.JUL.2024"/>
      <sheetName val="15.AGO.2024"/>
      <sheetName val="31.AGO.2024"/>
      <sheetName val="15.SET.024"/>
      <sheetName val="30.SET.2024"/>
      <sheetName val="15.OCT.2024"/>
      <sheetName val="31.OCT.2024"/>
      <sheetName val="15.NOV.2024"/>
      <sheetName val="30.NOV.2024"/>
      <sheetName val="AGUIN.2024"/>
      <sheetName val="15.DIC.2024"/>
      <sheetName val="31.DIC.2024"/>
      <sheetName val="15.ENE.2025"/>
      <sheetName val="31.ENE.2025"/>
      <sheetName val="15.FEB.2025"/>
      <sheetName val="28.FEB.2025"/>
      <sheetName val="15.MAR.2025"/>
      <sheetName val="31.MAR.2025"/>
      <sheetName val="15.ABR.2025"/>
      <sheetName val="30ABR.2025"/>
      <sheetName val="15.MAYO2025"/>
      <sheetName val="31.MAY.2025"/>
      <sheetName val="15.JUN.2025"/>
      <sheetName val="30.JUN.2025"/>
      <sheetName val="15.JUL.2025"/>
      <sheetName val="31.JUL.2025"/>
      <sheetName val="15. AGO.2025"/>
      <sheetName val="31.AGO.2025"/>
      <sheetName val="15. SET.2025"/>
      <sheetName val="30.SET.2025"/>
      <sheetName val="15.OCT.2025"/>
      <sheetName val="31.OCT.2025"/>
      <sheetName val="15.NOV.2025"/>
      <sheetName val="30.NOV.2025"/>
      <sheetName val="AGUIN 2025"/>
      <sheetName val="15.DIC.2025"/>
      <sheetName val="31.DIC.2025"/>
      <sheetName val="15.ENE.2026"/>
      <sheetName val="31.ENE.2026"/>
      <sheetName val="15.FEB.2026"/>
      <sheetName val="28.FEB.2026"/>
      <sheetName val="15.MAR.2026"/>
      <sheetName val="31.MAR.2026"/>
      <sheetName val="15.ABR.2026"/>
      <sheetName val="30.ABR.2026"/>
      <sheetName val="15.MAY.2026"/>
      <sheetName val="31.MAY.2026"/>
      <sheetName val="15.JUN.2026"/>
      <sheetName val="30.JUN.2026"/>
      <sheetName val="15.JUL.2026"/>
      <sheetName val="31.JUL.2026"/>
      <sheetName val="15.AGO.20026"/>
      <sheetName val="31.AGO.2026"/>
      <sheetName val="15.SET.2026"/>
      <sheetName val="30.SET.2026"/>
      <sheetName val="15.OCT.2026"/>
      <sheetName val="31.OCT.2026"/>
      <sheetName val="15.NOV.2026"/>
      <sheetName val="Hoja1"/>
      <sheetName val="AGUIN.2026"/>
      <sheetName val="VACACI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>
        <row r="55">
          <cell r="F55" t="str">
            <v>MEMO</v>
          </cell>
          <cell r="G55">
            <v>508333.33333333331</v>
          </cell>
        </row>
        <row r="56">
          <cell r="F56" t="str">
            <v xml:space="preserve">MAINOR </v>
          </cell>
          <cell r="G56">
            <v>476207.35</v>
          </cell>
        </row>
        <row r="57">
          <cell r="F57" t="str">
            <v>DRODYN</v>
          </cell>
          <cell r="G57">
            <v>391513.18333333329</v>
          </cell>
        </row>
        <row r="58">
          <cell r="F58" t="str">
            <v>ANTONIO</v>
          </cell>
          <cell r="G58">
            <v>533979.93333333335</v>
          </cell>
        </row>
        <row r="59">
          <cell r="F59" t="str">
            <v>JOSE PABLO</v>
          </cell>
          <cell r="G59">
            <v>380920.01666666666</v>
          </cell>
        </row>
        <row r="60">
          <cell r="F60" t="str">
            <v>EMMANUE</v>
          </cell>
          <cell r="G60">
            <v>368885.35333333327</v>
          </cell>
        </row>
        <row r="61">
          <cell r="F61" t="str">
            <v>MAIKOL</v>
          </cell>
          <cell r="G61">
            <v>325669.94</v>
          </cell>
        </row>
        <row r="62">
          <cell r="F62" t="str">
            <v>JEISON</v>
          </cell>
          <cell r="G62">
            <v>475698.43333333329</v>
          </cell>
        </row>
        <row r="63">
          <cell r="F63" t="str">
            <v>JOSE</v>
          </cell>
          <cell r="G63">
            <v>437749.35</v>
          </cell>
        </row>
        <row r="64">
          <cell r="F64" t="str">
            <v>JERE</v>
          </cell>
          <cell r="G64">
            <v>0</v>
          </cell>
        </row>
        <row r="65">
          <cell r="F65" t="str">
            <v>DIXON</v>
          </cell>
          <cell r="G65">
            <v>466935.93333333329</v>
          </cell>
        </row>
        <row r="66">
          <cell r="G66">
            <v>0</v>
          </cell>
        </row>
        <row r="67">
          <cell r="F67" t="str">
            <v>ADAN</v>
          </cell>
          <cell r="G67">
            <v>381307.6</v>
          </cell>
        </row>
        <row r="68">
          <cell r="F68" t="str">
            <v>BRYANT</v>
          </cell>
          <cell r="G68">
            <v>362434.85</v>
          </cell>
        </row>
        <row r="69">
          <cell r="F69" t="str">
            <v>JEFFERSON</v>
          </cell>
          <cell r="G69">
            <v>362066.76666666666</v>
          </cell>
        </row>
      </sheetData>
      <sheetData sheetId="57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42D7-0997-490C-AF7D-7B0E14532409}">
  <dimension ref="A1:R54"/>
  <sheetViews>
    <sheetView tabSelected="1" workbookViewId="0">
      <selection activeCell="I58" sqref="I58"/>
    </sheetView>
  </sheetViews>
  <sheetFormatPr baseColWidth="10" defaultRowHeight="15" x14ac:dyDescent="0.25"/>
  <cols>
    <col min="1" max="1" width="27.140625" customWidth="1"/>
    <col min="2" max="2" width="11.140625" customWidth="1"/>
    <col min="3" max="3" width="10.28515625" customWidth="1"/>
    <col min="4" max="4" width="9.28515625" customWidth="1"/>
    <col min="5" max="5" width="10.140625" customWidth="1"/>
    <col min="6" max="8" width="9.28515625" customWidth="1"/>
    <col min="9" max="9" width="10.140625" customWidth="1"/>
    <col min="10" max="10" width="10.85546875" customWidth="1"/>
    <col min="11" max="11" width="10.5703125" customWidth="1"/>
    <col min="12" max="12" width="10.42578125" customWidth="1"/>
    <col min="13" max="13" width="8.5703125" customWidth="1"/>
    <col min="14" max="14" width="9.7109375" customWidth="1"/>
    <col min="15" max="16" width="9.28515625" customWidth="1"/>
    <col min="17" max="17" width="10.140625" customWidth="1"/>
  </cols>
  <sheetData>
    <row r="1" spans="1:16" ht="23.25" x14ac:dyDescent="0.35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16" ht="23.25" x14ac:dyDescent="0.35">
      <c r="A2" s="59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3" spans="1:16" ht="23.2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2"/>
      <c r="M3" s="2"/>
      <c r="N3" s="2"/>
      <c r="O3" s="2"/>
      <c r="P3" s="2"/>
    </row>
    <row r="4" spans="1:16" x14ac:dyDescent="0.25">
      <c r="A4" s="3"/>
      <c r="B4" s="4" t="s">
        <v>2</v>
      </c>
      <c r="C4" s="4" t="s">
        <v>3</v>
      </c>
      <c r="D4" s="4"/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/>
      <c r="N4" s="4" t="s">
        <v>12</v>
      </c>
      <c r="O4" s="4" t="s">
        <v>13</v>
      </c>
      <c r="P4" s="4" t="s">
        <v>14</v>
      </c>
    </row>
    <row r="5" spans="1:16" x14ac:dyDescent="0.25">
      <c r="A5" s="5" t="s">
        <v>15</v>
      </c>
      <c r="B5" s="6">
        <v>2</v>
      </c>
      <c r="C5" s="6">
        <v>2</v>
      </c>
      <c r="D5" s="6"/>
      <c r="E5" s="6">
        <v>2</v>
      </c>
      <c r="F5" s="6">
        <v>2</v>
      </c>
      <c r="G5" s="6">
        <v>2</v>
      </c>
      <c r="H5" s="6"/>
      <c r="I5" s="6">
        <v>2</v>
      </c>
      <c r="J5" s="6">
        <v>2</v>
      </c>
      <c r="K5" s="6">
        <v>2</v>
      </c>
      <c r="L5" s="6">
        <v>2</v>
      </c>
      <c r="M5" s="6"/>
      <c r="N5" s="6">
        <v>2</v>
      </c>
      <c r="O5" s="6">
        <v>2</v>
      </c>
      <c r="P5" s="6">
        <v>2</v>
      </c>
    </row>
    <row r="6" spans="1:16" x14ac:dyDescent="0.25">
      <c r="A6" s="3" t="s">
        <v>16</v>
      </c>
      <c r="B6" s="7">
        <v>206511.96</v>
      </c>
      <c r="C6" s="7">
        <v>206511.96</v>
      </c>
      <c r="D6" s="7"/>
      <c r="E6" s="7">
        <v>206511.96</v>
      </c>
      <c r="F6" s="7">
        <v>206511.96</v>
      </c>
      <c r="G6" s="7">
        <v>206511.96</v>
      </c>
      <c r="H6" s="7">
        <v>206511.96</v>
      </c>
      <c r="I6" s="7">
        <v>206511.96</v>
      </c>
      <c r="J6" s="7">
        <v>300000</v>
      </c>
      <c r="K6" s="7">
        <v>206511.96</v>
      </c>
      <c r="L6" s="7">
        <v>206511.96</v>
      </c>
      <c r="M6" s="7">
        <v>206511.96</v>
      </c>
      <c r="N6" s="7">
        <v>206511.96</v>
      </c>
      <c r="O6" s="7">
        <v>206511.96</v>
      </c>
      <c r="P6" s="7">
        <v>206511.96</v>
      </c>
    </row>
    <row r="7" spans="1:16" x14ac:dyDescent="0.25">
      <c r="A7" s="3" t="s">
        <v>17</v>
      </c>
      <c r="B7" s="8">
        <f>+B5*B6</f>
        <v>413023.92</v>
      </c>
      <c r="C7" s="8">
        <f>+C5*C6</f>
        <v>413023.92</v>
      </c>
      <c r="D7" s="8"/>
      <c r="E7" s="8">
        <f t="shared" ref="E7:P7" si="0">+E5*E6</f>
        <v>413023.92</v>
      </c>
      <c r="F7" s="8">
        <f t="shared" si="0"/>
        <v>413023.92</v>
      </c>
      <c r="G7" s="8">
        <f t="shared" si="0"/>
        <v>413023.92</v>
      </c>
      <c r="H7" s="8">
        <f t="shared" si="0"/>
        <v>0</v>
      </c>
      <c r="I7" s="8">
        <f t="shared" si="0"/>
        <v>413023.92</v>
      </c>
      <c r="J7" s="8">
        <f t="shared" si="0"/>
        <v>600000</v>
      </c>
      <c r="K7" s="8">
        <f t="shared" si="0"/>
        <v>413023.92</v>
      </c>
      <c r="L7" s="8">
        <f t="shared" si="0"/>
        <v>413023.92</v>
      </c>
      <c r="M7" s="8">
        <f>+M5*M6</f>
        <v>0</v>
      </c>
      <c r="N7" s="8">
        <f t="shared" ref="N7:O7" si="1">+N5*N6</f>
        <v>413023.92</v>
      </c>
      <c r="O7" s="8">
        <f t="shared" si="1"/>
        <v>413023.92</v>
      </c>
      <c r="P7" s="8">
        <f t="shared" si="0"/>
        <v>413023.92</v>
      </c>
    </row>
    <row r="8" spans="1:16" x14ac:dyDescent="0.25">
      <c r="A8" s="9" t="s">
        <v>18</v>
      </c>
      <c r="B8" s="10">
        <f>+B7/12</f>
        <v>34418.659999999996</v>
      </c>
      <c r="C8" s="10">
        <f t="shared" ref="C8:P8" si="2">+C7/12</f>
        <v>34418.659999999996</v>
      </c>
      <c r="D8" s="10"/>
      <c r="E8" s="10">
        <f t="shared" si="2"/>
        <v>34418.659999999996</v>
      </c>
      <c r="F8" s="10">
        <f>+F7/12</f>
        <v>34418.659999999996</v>
      </c>
      <c r="G8" s="10">
        <f t="shared" si="2"/>
        <v>34418.659999999996</v>
      </c>
      <c r="H8" s="10">
        <f t="shared" si="2"/>
        <v>0</v>
      </c>
      <c r="I8" s="10">
        <f t="shared" si="2"/>
        <v>34418.659999999996</v>
      </c>
      <c r="J8" s="10">
        <f t="shared" si="2"/>
        <v>50000</v>
      </c>
      <c r="K8" s="10">
        <f t="shared" si="2"/>
        <v>34418.659999999996</v>
      </c>
      <c r="L8" s="10">
        <f>+L7/12</f>
        <v>34418.659999999996</v>
      </c>
      <c r="M8" s="10">
        <f>+M7/12</f>
        <v>0</v>
      </c>
      <c r="N8" s="10">
        <f t="shared" ref="N8:O8" si="3">+N7/12</f>
        <v>34418.659999999996</v>
      </c>
      <c r="O8" s="10">
        <f t="shared" si="3"/>
        <v>34418.659999999996</v>
      </c>
      <c r="P8" s="10">
        <f t="shared" si="2"/>
        <v>34418.659999999996</v>
      </c>
    </row>
    <row r="9" spans="1:16" ht="17.25" customHeight="1" x14ac:dyDescent="0.25">
      <c r="A9" s="11" t="s">
        <v>19</v>
      </c>
      <c r="B9" s="12">
        <v>18</v>
      </c>
      <c r="C9" s="12">
        <v>18</v>
      </c>
      <c r="D9" s="12"/>
      <c r="E9" s="12">
        <v>18</v>
      </c>
      <c r="F9" s="12">
        <v>18</v>
      </c>
      <c r="G9" s="13">
        <v>17</v>
      </c>
      <c r="H9" s="12">
        <v>18</v>
      </c>
      <c r="I9" s="12">
        <v>18</v>
      </c>
      <c r="J9" s="12">
        <v>18</v>
      </c>
      <c r="K9" s="12">
        <v>18</v>
      </c>
      <c r="L9" s="12">
        <v>18</v>
      </c>
      <c r="M9" s="12"/>
      <c r="N9" s="12">
        <v>18</v>
      </c>
      <c r="O9" s="12">
        <v>18</v>
      </c>
      <c r="P9" s="12">
        <v>18</v>
      </c>
    </row>
    <row r="10" spans="1:16" x14ac:dyDescent="0.25">
      <c r="A10" s="3" t="s">
        <v>20</v>
      </c>
      <c r="B10" s="7">
        <v>209877.96</v>
      </c>
      <c r="C10" s="7">
        <v>209877.96</v>
      </c>
      <c r="D10" s="7"/>
      <c r="E10" s="7">
        <v>209877.96</v>
      </c>
      <c r="F10" s="7">
        <v>209877.96</v>
      </c>
      <c r="G10" s="7">
        <v>209877.96</v>
      </c>
      <c r="H10" s="7">
        <v>209877.96</v>
      </c>
      <c r="I10" s="7">
        <v>209877.96</v>
      </c>
      <c r="J10" s="7">
        <v>300000</v>
      </c>
      <c r="K10" s="7">
        <v>209877.96</v>
      </c>
      <c r="L10" s="7">
        <v>209877.96</v>
      </c>
      <c r="M10" s="7">
        <v>209877.96</v>
      </c>
      <c r="N10" s="7">
        <v>209877.96</v>
      </c>
      <c r="O10" s="7">
        <v>209877.96</v>
      </c>
      <c r="P10" s="7">
        <v>209877.96</v>
      </c>
    </row>
    <row r="11" spans="1:16" x14ac:dyDescent="0.25">
      <c r="A11" s="3" t="s">
        <v>21</v>
      </c>
      <c r="B11" s="7">
        <f>+B9*B10</f>
        <v>3777803.28</v>
      </c>
      <c r="C11" s="7">
        <f t="shared" ref="C11:P11" si="4">+C9*C10</f>
        <v>3777803.28</v>
      </c>
      <c r="D11" s="7"/>
      <c r="E11" s="7">
        <f t="shared" si="4"/>
        <v>3777803.28</v>
      </c>
      <c r="F11" s="7">
        <f t="shared" si="4"/>
        <v>3777803.28</v>
      </c>
      <c r="G11" s="7">
        <f>+G9*G10</f>
        <v>3567925.32</v>
      </c>
      <c r="H11" s="7">
        <f t="shared" si="4"/>
        <v>3777803.28</v>
      </c>
      <c r="I11" s="7">
        <f t="shared" si="4"/>
        <v>3777803.28</v>
      </c>
      <c r="J11" s="7">
        <f t="shared" si="4"/>
        <v>5400000</v>
      </c>
      <c r="K11" s="7">
        <f t="shared" si="4"/>
        <v>3777803.28</v>
      </c>
      <c r="L11" s="7">
        <f t="shared" si="4"/>
        <v>3777803.28</v>
      </c>
      <c r="M11" s="7">
        <f t="shared" si="4"/>
        <v>0</v>
      </c>
      <c r="N11" s="7">
        <f t="shared" si="4"/>
        <v>3777803.28</v>
      </c>
      <c r="O11" s="7">
        <f t="shared" si="4"/>
        <v>3777803.28</v>
      </c>
      <c r="P11" s="7">
        <f t="shared" si="4"/>
        <v>3777803.28</v>
      </c>
    </row>
    <row r="12" spans="1:16" ht="18" customHeight="1" x14ac:dyDescent="0.25">
      <c r="A12" s="9" t="s">
        <v>22</v>
      </c>
      <c r="B12" s="7">
        <f>+B11/12</f>
        <v>314816.94</v>
      </c>
      <c r="C12" s="7">
        <f t="shared" ref="C12:P12" si="5">+C11/12</f>
        <v>314816.94</v>
      </c>
      <c r="D12" s="7"/>
      <c r="E12" s="7">
        <f t="shared" si="5"/>
        <v>314816.94</v>
      </c>
      <c r="F12" s="7">
        <f t="shared" si="5"/>
        <v>314816.94</v>
      </c>
      <c r="G12" s="7">
        <f t="shared" si="5"/>
        <v>297327.11</v>
      </c>
      <c r="H12" s="7">
        <f t="shared" si="5"/>
        <v>314816.94</v>
      </c>
      <c r="I12" s="7">
        <f t="shared" si="5"/>
        <v>314816.94</v>
      </c>
      <c r="J12" s="7">
        <f t="shared" si="5"/>
        <v>450000</v>
      </c>
      <c r="K12" s="7">
        <f t="shared" si="5"/>
        <v>314816.94</v>
      </c>
      <c r="L12" s="7">
        <f t="shared" si="5"/>
        <v>314816.94</v>
      </c>
      <c r="M12" s="7">
        <f t="shared" si="5"/>
        <v>0</v>
      </c>
      <c r="N12" s="7">
        <f t="shared" si="5"/>
        <v>314816.94</v>
      </c>
      <c r="O12" s="7">
        <f t="shared" si="5"/>
        <v>314816.94</v>
      </c>
      <c r="P12" s="7">
        <f t="shared" si="5"/>
        <v>314816.94</v>
      </c>
    </row>
    <row r="13" spans="1:16" ht="15" customHeight="1" x14ac:dyDescent="0.25">
      <c r="A13" s="11" t="s">
        <v>23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 ht="15.75" customHeight="1" x14ac:dyDescent="0.25">
      <c r="A14" s="9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spans="1:16" ht="15.75" customHeight="1" x14ac:dyDescent="0.25">
      <c r="A15" s="9" t="s">
        <v>24</v>
      </c>
      <c r="B15" s="15">
        <f>+B13*B14</f>
        <v>0</v>
      </c>
      <c r="C15" s="15">
        <f t="shared" ref="C15:P15" si="6">+C13*C14</f>
        <v>0</v>
      </c>
      <c r="D15" s="15">
        <f t="shared" si="6"/>
        <v>0</v>
      </c>
      <c r="E15" s="15">
        <f t="shared" si="6"/>
        <v>0</v>
      </c>
      <c r="F15" s="15">
        <f t="shared" si="6"/>
        <v>0</v>
      </c>
      <c r="G15" s="15">
        <f t="shared" si="6"/>
        <v>0</v>
      </c>
      <c r="H15" s="15">
        <f t="shared" si="6"/>
        <v>0</v>
      </c>
      <c r="I15" s="15">
        <f t="shared" si="6"/>
        <v>0</v>
      </c>
      <c r="J15" s="16">
        <f t="shared" si="6"/>
        <v>0</v>
      </c>
      <c r="K15" s="16">
        <f t="shared" si="6"/>
        <v>0</v>
      </c>
      <c r="L15" s="16">
        <f t="shared" si="6"/>
        <v>0</v>
      </c>
      <c r="M15" s="16">
        <f t="shared" si="6"/>
        <v>0</v>
      </c>
      <c r="N15" s="16">
        <f t="shared" si="6"/>
        <v>0</v>
      </c>
      <c r="O15" s="16">
        <f t="shared" si="6"/>
        <v>0</v>
      </c>
      <c r="P15" s="15">
        <f t="shared" si="6"/>
        <v>0</v>
      </c>
    </row>
    <row r="16" spans="1:16" x14ac:dyDescent="0.25">
      <c r="A16" s="9" t="s">
        <v>25</v>
      </c>
      <c r="B16" s="16">
        <f>+B15/12</f>
        <v>0</v>
      </c>
      <c r="C16" s="16">
        <f t="shared" ref="C16:P16" si="7">+C15/12</f>
        <v>0</v>
      </c>
      <c r="D16" s="16">
        <f t="shared" si="7"/>
        <v>0</v>
      </c>
      <c r="E16" s="16">
        <f t="shared" si="7"/>
        <v>0</v>
      </c>
      <c r="F16" s="16">
        <f t="shared" si="7"/>
        <v>0</v>
      </c>
      <c r="G16" s="16">
        <f t="shared" si="7"/>
        <v>0</v>
      </c>
      <c r="H16" s="16">
        <f t="shared" si="7"/>
        <v>0</v>
      </c>
      <c r="I16" s="16">
        <f t="shared" si="7"/>
        <v>0</v>
      </c>
      <c r="J16" s="16">
        <f t="shared" si="7"/>
        <v>0</v>
      </c>
      <c r="K16" s="16">
        <f t="shared" si="7"/>
        <v>0</v>
      </c>
      <c r="L16" s="16">
        <f t="shared" si="7"/>
        <v>0</v>
      </c>
      <c r="M16" s="16">
        <f t="shared" si="7"/>
        <v>0</v>
      </c>
      <c r="N16" s="16">
        <f t="shared" si="7"/>
        <v>0</v>
      </c>
      <c r="O16" s="16">
        <f t="shared" si="7"/>
        <v>0</v>
      </c>
      <c r="P16" s="16">
        <f t="shared" si="7"/>
        <v>0</v>
      </c>
    </row>
    <row r="17" spans="1:17" x14ac:dyDescent="0.25">
      <c r="A17" s="17" t="s">
        <v>26</v>
      </c>
      <c r="B17" s="18">
        <f>+B8+B12+B16</f>
        <v>349235.6</v>
      </c>
      <c r="C17" s="18">
        <f t="shared" ref="C17:P17" si="8">+C8+C12+C16</f>
        <v>349235.6</v>
      </c>
      <c r="D17" s="18">
        <f t="shared" si="8"/>
        <v>0</v>
      </c>
      <c r="E17" s="18">
        <f t="shared" si="8"/>
        <v>349235.6</v>
      </c>
      <c r="F17" s="18">
        <f t="shared" si="8"/>
        <v>349235.6</v>
      </c>
      <c r="G17" s="18">
        <f t="shared" si="8"/>
        <v>331745.76999999996</v>
      </c>
      <c r="H17" s="18">
        <f t="shared" si="8"/>
        <v>314816.94</v>
      </c>
      <c r="I17" s="18">
        <f t="shared" si="8"/>
        <v>349235.6</v>
      </c>
      <c r="J17" s="18">
        <f t="shared" si="8"/>
        <v>500000</v>
      </c>
      <c r="K17" s="18">
        <f t="shared" si="8"/>
        <v>349235.6</v>
      </c>
      <c r="L17" s="18">
        <f t="shared" si="8"/>
        <v>349235.6</v>
      </c>
      <c r="M17" s="18">
        <f t="shared" si="8"/>
        <v>0</v>
      </c>
      <c r="N17" s="18">
        <f t="shared" si="8"/>
        <v>349235.6</v>
      </c>
      <c r="O17" s="18">
        <f t="shared" si="8"/>
        <v>349235.6</v>
      </c>
      <c r="P17" s="18">
        <f t="shared" si="8"/>
        <v>349235.6</v>
      </c>
    </row>
    <row r="18" spans="1:17" x14ac:dyDescent="0.25">
      <c r="A18" s="19" t="s">
        <v>27</v>
      </c>
      <c r="B18" s="20">
        <f>+B7+B11+B15</f>
        <v>4190827.1999999997</v>
      </c>
      <c r="C18" s="20">
        <f t="shared" ref="C18:P18" si="9">+C7+C11+C15</f>
        <v>4190827.1999999997</v>
      </c>
      <c r="D18" s="20">
        <f t="shared" si="9"/>
        <v>0</v>
      </c>
      <c r="E18" s="20">
        <f t="shared" si="9"/>
        <v>4190827.1999999997</v>
      </c>
      <c r="F18" s="20">
        <f t="shared" si="9"/>
        <v>4190827.1999999997</v>
      </c>
      <c r="G18" s="20">
        <f t="shared" si="9"/>
        <v>3980949.2399999998</v>
      </c>
      <c r="H18" s="20">
        <f t="shared" si="9"/>
        <v>3777803.28</v>
      </c>
      <c r="I18" s="20">
        <f t="shared" si="9"/>
        <v>4190827.1999999997</v>
      </c>
      <c r="J18" s="20">
        <f t="shared" si="9"/>
        <v>6000000</v>
      </c>
      <c r="K18" s="20">
        <f t="shared" si="9"/>
        <v>4190827.1999999997</v>
      </c>
      <c r="L18" s="20">
        <f t="shared" si="9"/>
        <v>4190827.1999999997</v>
      </c>
      <c r="M18" s="20">
        <f t="shared" si="9"/>
        <v>0</v>
      </c>
      <c r="N18" s="20">
        <f t="shared" si="9"/>
        <v>4190827.1999999997</v>
      </c>
      <c r="O18" s="20">
        <f t="shared" si="9"/>
        <v>4190827.1999999997</v>
      </c>
      <c r="P18" s="20">
        <f t="shared" si="9"/>
        <v>4190827.1999999997</v>
      </c>
    </row>
    <row r="19" spans="1:17" x14ac:dyDescent="0.25">
      <c r="A19" s="21" t="s">
        <v>28</v>
      </c>
      <c r="B19" s="22" t="s">
        <v>29</v>
      </c>
      <c r="C19" s="22" t="s">
        <v>29</v>
      </c>
      <c r="D19" s="22" t="s">
        <v>29</v>
      </c>
      <c r="E19" s="22" t="s">
        <v>29</v>
      </c>
      <c r="F19" s="22" t="s">
        <v>29</v>
      </c>
      <c r="G19" s="22" t="s">
        <v>29</v>
      </c>
      <c r="H19" s="22" t="s">
        <v>29</v>
      </c>
      <c r="I19" s="22" t="s">
        <v>29</v>
      </c>
      <c r="J19" s="22" t="s">
        <v>29</v>
      </c>
      <c r="K19" s="22" t="s">
        <v>29</v>
      </c>
      <c r="L19" s="22" t="s">
        <v>29</v>
      </c>
      <c r="M19" s="22" t="s">
        <v>29</v>
      </c>
      <c r="N19" s="22" t="s">
        <v>29</v>
      </c>
      <c r="O19" s="22" t="s">
        <v>29</v>
      </c>
      <c r="P19" s="22" t="s">
        <v>29</v>
      </c>
    </row>
    <row r="20" spans="1:17" x14ac:dyDescent="0.25">
      <c r="A20" s="23" t="s">
        <v>30</v>
      </c>
      <c r="B20" s="24">
        <v>82608</v>
      </c>
      <c r="C20" s="24">
        <v>24094</v>
      </c>
      <c r="D20" s="24"/>
      <c r="E20" s="24">
        <v>103260</v>
      </c>
      <c r="F20" s="24">
        <v>13769</v>
      </c>
      <c r="G20" s="24">
        <v>21512</v>
      </c>
      <c r="H20" s="24"/>
      <c r="I20" s="24">
        <v>80395</v>
      </c>
      <c r="J20" s="24"/>
      <c r="K20" s="24">
        <v>80026</v>
      </c>
      <c r="L20" s="24">
        <v>29258</v>
      </c>
      <c r="M20" s="24"/>
      <c r="N20" s="24">
        <v>13769</v>
      </c>
      <c r="O20" s="24">
        <v>5163</v>
      </c>
      <c r="P20" s="24">
        <v>41309</v>
      </c>
      <c r="Q20" s="25">
        <f t="shared" ref="Q20:Q49" si="10">SUM(B20:P20)</f>
        <v>495163</v>
      </c>
    </row>
    <row r="21" spans="1:17" x14ac:dyDescent="0.25">
      <c r="A21" s="23" t="s">
        <v>31</v>
      </c>
      <c r="B21" s="24">
        <v>87774</v>
      </c>
      <c r="C21" s="24">
        <v>39583</v>
      </c>
      <c r="D21" s="24"/>
      <c r="E21" s="24">
        <v>131652</v>
      </c>
      <c r="F21" s="24">
        <v>13769</v>
      </c>
      <c r="G21" s="24">
        <v>25815</v>
      </c>
      <c r="H21" s="24"/>
      <c r="I21" s="26">
        <v>87771</v>
      </c>
      <c r="J21" s="27">
        <v>25000</v>
      </c>
      <c r="K21" s="24">
        <v>82608</v>
      </c>
      <c r="L21" s="24">
        <v>20652</v>
      </c>
      <c r="M21" s="24"/>
      <c r="N21" s="24">
        <v>13769</v>
      </c>
      <c r="O21" s="24">
        <v>13769</v>
      </c>
      <c r="P21" s="24">
        <v>37868</v>
      </c>
      <c r="Q21" s="25">
        <f t="shared" si="10"/>
        <v>580030</v>
      </c>
    </row>
    <row r="22" spans="1:17" x14ac:dyDescent="0.25">
      <c r="A22" s="23" t="s">
        <v>32</v>
      </c>
      <c r="B22" s="24">
        <v>82896</v>
      </c>
      <c r="C22" s="24">
        <v>24150</v>
      </c>
      <c r="D22" s="24"/>
      <c r="E22" s="24">
        <v>93150</v>
      </c>
      <c r="F22" s="24">
        <v>13800</v>
      </c>
      <c r="G22" s="24">
        <v>29325</v>
      </c>
      <c r="H22" s="24"/>
      <c r="I22" s="26">
        <v>82896</v>
      </c>
      <c r="J22" s="27">
        <v>25000</v>
      </c>
      <c r="K22" s="24">
        <v>72546</v>
      </c>
      <c r="L22" s="24">
        <v>19711</v>
      </c>
      <c r="M22" s="24"/>
      <c r="N22" s="24">
        <v>13800</v>
      </c>
      <c r="O22" s="24"/>
      <c r="P22" s="24">
        <v>40578</v>
      </c>
      <c r="Q22" s="25">
        <f t="shared" si="10"/>
        <v>497852</v>
      </c>
    </row>
    <row r="23" spans="1:17" x14ac:dyDescent="0.25">
      <c r="A23" s="23" t="s">
        <v>33</v>
      </c>
      <c r="B23" s="24">
        <v>67275</v>
      </c>
      <c r="C23" s="24">
        <v>20700</v>
      </c>
      <c r="D23" s="24"/>
      <c r="E23" s="24">
        <v>108675</v>
      </c>
      <c r="F23" s="24"/>
      <c r="G23" s="24">
        <v>5175</v>
      </c>
      <c r="H23" s="24"/>
      <c r="I23" s="26">
        <v>69862</v>
      </c>
      <c r="J23" s="27"/>
      <c r="K23" s="24">
        <v>67275</v>
      </c>
      <c r="L23" s="24">
        <v>12075</v>
      </c>
      <c r="M23" s="24"/>
      <c r="N23" s="24"/>
      <c r="O23" s="24"/>
      <c r="P23" s="24">
        <v>48300</v>
      </c>
      <c r="Q23" s="25">
        <f t="shared" si="10"/>
        <v>399337</v>
      </c>
    </row>
    <row r="24" spans="1:17" x14ac:dyDescent="0.25">
      <c r="A24" s="23" t="s">
        <v>34</v>
      </c>
      <c r="B24" s="24">
        <v>64687</v>
      </c>
      <c r="C24" s="24">
        <v>56925</v>
      </c>
      <c r="D24" s="24"/>
      <c r="E24" s="24">
        <v>93150</v>
      </c>
      <c r="F24" s="24">
        <v>19221</v>
      </c>
      <c r="G24" s="24">
        <v>7762</v>
      </c>
      <c r="H24" s="24"/>
      <c r="I24" s="26"/>
      <c r="J24" s="27"/>
      <c r="K24" s="24">
        <v>56925</v>
      </c>
      <c r="L24" s="24">
        <v>10350</v>
      </c>
      <c r="M24" s="24"/>
      <c r="N24" s="24"/>
      <c r="O24" s="24"/>
      <c r="P24" s="24">
        <v>34500</v>
      </c>
      <c r="Q24" s="25">
        <f t="shared" si="10"/>
        <v>343520</v>
      </c>
    </row>
    <row r="25" spans="1:17" x14ac:dyDescent="0.25">
      <c r="A25" s="23" t="s">
        <v>35</v>
      </c>
      <c r="B25" s="24">
        <v>56925</v>
      </c>
      <c r="C25" s="24">
        <v>10350</v>
      </c>
      <c r="D25" s="24"/>
      <c r="E25" s="24">
        <v>93150</v>
      </c>
      <c r="F25" s="24">
        <v>10350</v>
      </c>
      <c r="G25" s="24"/>
      <c r="H25" s="24"/>
      <c r="I25" s="26">
        <v>62100</v>
      </c>
      <c r="J25" s="27"/>
      <c r="K25" s="24">
        <v>41400</v>
      </c>
      <c r="L25" s="24"/>
      <c r="M25" s="24"/>
      <c r="N25" s="24"/>
      <c r="O25" s="24"/>
      <c r="P25" s="24">
        <v>31050</v>
      </c>
      <c r="Q25" s="25">
        <f t="shared" si="10"/>
        <v>305325</v>
      </c>
    </row>
    <row r="26" spans="1:17" x14ac:dyDescent="0.25">
      <c r="A26" s="23" t="s">
        <v>36</v>
      </c>
      <c r="B26" s="24">
        <v>72456</v>
      </c>
      <c r="C26" s="24">
        <v>20700</v>
      </c>
      <c r="D26" s="24"/>
      <c r="E26" s="24">
        <v>93150</v>
      </c>
      <c r="F26" s="24">
        <v>15525</v>
      </c>
      <c r="G26" s="24">
        <v>20700</v>
      </c>
      <c r="H26" s="24">
        <v>7762</v>
      </c>
      <c r="I26" s="26">
        <v>65981</v>
      </c>
      <c r="J26" s="27"/>
      <c r="K26" s="24">
        <v>51750</v>
      </c>
      <c r="L26" s="24">
        <v>12937</v>
      </c>
      <c r="M26" s="24"/>
      <c r="N26" s="24">
        <v>6653</v>
      </c>
      <c r="O26" s="24">
        <v>6653</v>
      </c>
      <c r="P26" s="24">
        <v>39675</v>
      </c>
      <c r="Q26" s="25">
        <f t="shared" si="10"/>
        <v>413942</v>
      </c>
    </row>
    <row r="27" spans="1:17" x14ac:dyDescent="0.25">
      <c r="A27" s="23" t="s">
        <v>37</v>
      </c>
      <c r="B27" s="24">
        <v>72450</v>
      </c>
      <c r="C27" s="24"/>
      <c r="D27" s="24"/>
      <c r="E27" s="24">
        <v>113850</v>
      </c>
      <c r="F27" s="24">
        <v>20700</v>
      </c>
      <c r="G27" s="24"/>
      <c r="H27" s="24"/>
      <c r="I27" s="26">
        <v>72450</v>
      </c>
      <c r="J27" s="27"/>
      <c r="K27" s="24">
        <v>72450</v>
      </c>
      <c r="L27" s="24">
        <v>20700</v>
      </c>
      <c r="M27" s="24"/>
      <c r="N27" s="24"/>
      <c r="O27" s="24"/>
      <c r="P27" s="24">
        <v>37950</v>
      </c>
      <c r="Q27" s="25">
        <f t="shared" si="10"/>
        <v>410550</v>
      </c>
    </row>
    <row r="28" spans="1:17" x14ac:dyDescent="0.25">
      <c r="A28" s="23" t="s">
        <v>38</v>
      </c>
      <c r="B28" s="24">
        <v>103412</v>
      </c>
      <c r="C28" s="24">
        <v>43125</v>
      </c>
      <c r="D28" s="24"/>
      <c r="E28" s="24">
        <v>125925</v>
      </c>
      <c r="F28" s="24">
        <v>53475</v>
      </c>
      <c r="G28" s="24">
        <v>48300</v>
      </c>
      <c r="H28" s="24">
        <v>41400</v>
      </c>
      <c r="I28" s="26">
        <v>116350</v>
      </c>
      <c r="J28" s="27"/>
      <c r="K28" s="24">
        <v>100825</v>
      </c>
      <c r="L28" s="24">
        <v>39182</v>
      </c>
      <c r="M28" s="24"/>
      <c r="N28" s="24">
        <v>41400</v>
      </c>
      <c r="O28" s="24">
        <v>41400</v>
      </c>
      <c r="P28" s="24">
        <v>58978</v>
      </c>
      <c r="Q28" s="25">
        <f t="shared" si="10"/>
        <v>813772</v>
      </c>
    </row>
    <row r="29" spans="1:17" x14ac:dyDescent="0.25">
      <c r="A29" s="23" t="s">
        <v>39</v>
      </c>
      <c r="B29" s="24">
        <v>67275</v>
      </c>
      <c r="C29" s="24"/>
      <c r="D29" s="24"/>
      <c r="E29" s="24">
        <v>100912</v>
      </c>
      <c r="F29" s="24">
        <v>5914</v>
      </c>
      <c r="G29" s="24">
        <v>12937</v>
      </c>
      <c r="H29" s="24">
        <v>10350</v>
      </c>
      <c r="I29" s="26">
        <v>67275</v>
      </c>
      <c r="J29" s="27"/>
      <c r="K29" s="24">
        <v>62100</v>
      </c>
      <c r="L29" s="24">
        <v>3450</v>
      </c>
      <c r="M29" s="24"/>
      <c r="N29" s="24"/>
      <c r="O29" s="24"/>
      <c r="P29" s="24">
        <v>31542</v>
      </c>
      <c r="Q29" s="25">
        <f t="shared" si="10"/>
        <v>361755</v>
      </c>
    </row>
    <row r="30" spans="1:17" x14ac:dyDescent="0.25">
      <c r="A30" s="23" t="s">
        <v>40</v>
      </c>
      <c r="B30" s="24">
        <v>82800</v>
      </c>
      <c r="C30" s="24">
        <v>13800</v>
      </c>
      <c r="D30" s="24"/>
      <c r="E30" s="24">
        <v>85387</v>
      </c>
      <c r="F30" s="24">
        <v>24150</v>
      </c>
      <c r="G30" s="24">
        <v>18975</v>
      </c>
      <c r="H30" s="24">
        <v>13800</v>
      </c>
      <c r="I30" s="26">
        <v>82800</v>
      </c>
      <c r="J30" s="27"/>
      <c r="K30" s="24">
        <v>82800</v>
      </c>
      <c r="L30" s="24">
        <v>10350</v>
      </c>
      <c r="M30" s="24"/>
      <c r="N30" s="24">
        <v>13800</v>
      </c>
      <c r="O30" s="24">
        <v>13800</v>
      </c>
      <c r="P30" s="24">
        <v>32200</v>
      </c>
      <c r="Q30" s="25">
        <f t="shared" si="10"/>
        <v>474662</v>
      </c>
    </row>
    <row r="31" spans="1:17" x14ac:dyDescent="0.25">
      <c r="A31" s="23" t="s">
        <v>41</v>
      </c>
      <c r="B31" s="24">
        <v>67278</v>
      </c>
      <c r="C31" s="24">
        <v>15525</v>
      </c>
      <c r="D31" s="24"/>
      <c r="E31" s="24">
        <v>100912</v>
      </c>
      <c r="F31" s="24">
        <v>15525</v>
      </c>
      <c r="G31" s="24"/>
      <c r="H31" s="24"/>
      <c r="I31" s="26">
        <v>67275</v>
      </c>
      <c r="J31" s="27"/>
      <c r="K31" s="24">
        <v>56925</v>
      </c>
      <c r="L31" s="24"/>
      <c r="M31" s="24"/>
      <c r="N31" s="24"/>
      <c r="O31" s="24"/>
      <c r="P31" s="24">
        <v>76187</v>
      </c>
      <c r="Q31" s="25">
        <f t="shared" si="10"/>
        <v>399627</v>
      </c>
    </row>
    <row r="32" spans="1:17" x14ac:dyDescent="0.25">
      <c r="A32" s="23" t="s">
        <v>42</v>
      </c>
      <c r="B32" s="24">
        <v>67275</v>
      </c>
      <c r="C32" s="24">
        <v>15525</v>
      </c>
      <c r="D32" s="24"/>
      <c r="E32" s="24">
        <v>100912</v>
      </c>
      <c r="F32" s="24">
        <v>18112</v>
      </c>
      <c r="G32" s="24"/>
      <c r="H32" s="24"/>
      <c r="I32" s="26">
        <v>62100</v>
      </c>
      <c r="J32" s="27"/>
      <c r="K32" s="24">
        <v>73312</v>
      </c>
      <c r="L32" s="24"/>
      <c r="M32" s="24"/>
      <c r="N32" s="24"/>
      <c r="O32" s="24">
        <v>5914</v>
      </c>
      <c r="P32" s="24">
        <v>51750</v>
      </c>
      <c r="Q32" s="25">
        <f t="shared" si="10"/>
        <v>394900</v>
      </c>
    </row>
    <row r="33" spans="1:18" x14ac:dyDescent="0.25">
      <c r="A33" s="23" t="s">
        <v>43</v>
      </c>
      <c r="B33" s="24">
        <v>5175</v>
      </c>
      <c r="C33" s="24">
        <v>5175</v>
      </c>
      <c r="D33" s="24"/>
      <c r="E33" s="24">
        <v>95737</v>
      </c>
      <c r="F33" s="24">
        <v>31050</v>
      </c>
      <c r="G33" s="24">
        <v>67275</v>
      </c>
      <c r="H33" s="24">
        <v>7762</v>
      </c>
      <c r="I33" s="26">
        <v>67275</v>
      </c>
      <c r="J33" s="27"/>
      <c r="K33" s="24">
        <v>56925</v>
      </c>
      <c r="L33" s="24"/>
      <c r="M33" s="24"/>
      <c r="N33" s="24"/>
      <c r="O33" s="24">
        <v>5175</v>
      </c>
      <c r="P33" s="24">
        <v>27600</v>
      </c>
      <c r="Q33" s="25">
        <f t="shared" si="10"/>
        <v>369149</v>
      </c>
    </row>
    <row r="34" spans="1:18" x14ac:dyDescent="0.25">
      <c r="A34" s="23" t="s">
        <v>44</v>
      </c>
      <c r="B34" s="24">
        <v>72450</v>
      </c>
      <c r="C34" s="24">
        <v>7762</v>
      </c>
      <c r="D34" s="24"/>
      <c r="E34" s="24">
        <v>93150</v>
      </c>
      <c r="F34" s="24">
        <v>5175</v>
      </c>
      <c r="G34" s="24">
        <v>12937</v>
      </c>
      <c r="H34" s="24"/>
      <c r="I34" s="26">
        <v>67275</v>
      </c>
      <c r="J34" s="27"/>
      <c r="K34" s="24">
        <v>67275</v>
      </c>
      <c r="L34" s="24">
        <v>7762</v>
      </c>
      <c r="M34" s="24"/>
      <c r="N34" s="24"/>
      <c r="O34" s="24"/>
      <c r="P34" s="24">
        <v>31050</v>
      </c>
      <c r="Q34" s="25">
        <f t="shared" si="10"/>
        <v>364836</v>
      </c>
    </row>
    <row r="35" spans="1:18" x14ac:dyDescent="0.25">
      <c r="A35" s="23" t="s">
        <v>45</v>
      </c>
      <c r="B35" s="24">
        <v>93150</v>
      </c>
      <c r="C35" s="24">
        <v>15525</v>
      </c>
      <c r="D35" s="24"/>
      <c r="E35" s="24">
        <v>125062</v>
      </c>
      <c r="F35" s="24">
        <v>85264</v>
      </c>
      <c r="G35" s="24">
        <v>49901</v>
      </c>
      <c r="H35" s="24">
        <v>13800</v>
      </c>
      <c r="I35" s="26">
        <v>87975</v>
      </c>
      <c r="J35" s="27">
        <v>25000</v>
      </c>
      <c r="K35" s="24">
        <v>10350</v>
      </c>
      <c r="L35" s="24">
        <v>13800</v>
      </c>
      <c r="M35" s="24"/>
      <c r="N35" s="24">
        <v>13800</v>
      </c>
      <c r="O35" s="24">
        <v>20700</v>
      </c>
      <c r="P35" s="24">
        <v>95450</v>
      </c>
      <c r="Q35" s="25">
        <f t="shared" si="10"/>
        <v>649777</v>
      </c>
    </row>
    <row r="36" spans="1:18" x14ac:dyDescent="0.25">
      <c r="A36" s="23" t="s">
        <v>46</v>
      </c>
      <c r="B36" s="24">
        <v>77625</v>
      </c>
      <c r="C36" s="24">
        <v>26737</v>
      </c>
      <c r="D36" s="24"/>
      <c r="E36" s="28">
        <v>109537</v>
      </c>
      <c r="F36" s="24">
        <v>67028</v>
      </c>
      <c r="G36" s="24">
        <v>35362</v>
      </c>
      <c r="H36" s="24">
        <v>27600</v>
      </c>
      <c r="I36" s="26">
        <v>80212</v>
      </c>
      <c r="J36" s="27">
        <v>25000</v>
      </c>
      <c r="K36" s="24">
        <v>101775</v>
      </c>
      <c r="L36" s="24">
        <v>32775</v>
      </c>
      <c r="M36" s="24"/>
      <c r="N36" s="24">
        <v>27600</v>
      </c>
      <c r="O36" s="24">
        <v>27600</v>
      </c>
      <c r="P36" s="24">
        <v>87400</v>
      </c>
      <c r="Q36" s="25">
        <f t="shared" si="10"/>
        <v>726251</v>
      </c>
    </row>
    <row r="37" spans="1:18" x14ac:dyDescent="0.25">
      <c r="A37" s="23" t="s">
        <v>47</v>
      </c>
      <c r="B37" s="24">
        <v>87975</v>
      </c>
      <c r="C37" s="24">
        <v>13800</v>
      </c>
      <c r="D37" s="24"/>
      <c r="E37" s="24">
        <v>130237</v>
      </c>
      <c r="F37" s="24">
        <v>19714</v>
      </c>
      <c r="G37" s="24">
        <v>24150</v>
      </c>
      <c r="H37" s="24">
        <v>7762</v>
      </c>
      <c r="I37" s="26">
        <v>82800</v>
      </c>
      <c r="J37" s="27"/>
      <c r="K37" s="24">
        <v>75037</v>
      </c>
      <c r="L37" s="24">
        <v>25362</v>
      </c>
      <c r="M37" s="24"/>
      <c r="N37" s="24">
        <v>13800</v>
      </c>
      <c r="O37" s="24"/>
      <c r="P37" s="24">
        <v>85100</v>
      </c>
      <c r="Q37" s="25">
        <f t="shared" si="10"/>
        <v>565737</v>
      </c>
    </row>
    <row r="38" spans="1:18" x14ac:dyDescent="0.25">
      <c r="A38" s="23" t="s">
        <v>48</v>
      </c>
      <c r="B38" s="24">
        <v>82800</v>
      </c>
      <c r="C38" s="24">
        <v>18975</v>
      </c>
      <c r="D38" s="24"/>
      <c r="E38" s="24">
        <v>117300</v>
      </c>
      <c r="F38" s="24">
        <v>24150</v>
      </c>
      <c r="G38" s="24">
        <v>29325</v>
      </c>
      <c r="H38" s="24"/>
      <c r="I38" s="26">
        <v>82800</v>
      </c>
      <c r="J38" s="27"/>
      <c r="K38" s="24">
        <v>75900</v>
      </c>
      <c r="L38" s="24">
        <v>56350</v>
      </c>
      <c r="M38" s="24"/>
      <c r="N38" s="24"/>
      <c r="O38" s="24">
        <v>13800</v>
      </c>
      <c r="P38" s="24">
        <v>54707</v>
      </c>
      <c r="Q38" s="25">
        <f t="shared" si="10"/>
        <v>556107</v>
      </c>
    </row>
    <row r="39" spans="1:18" x14ac:dyDescent="0.25">
      <c r="A39" s="23" t="s">
        <v>49</v>
      </c>
      <c r="B39" s="24">
        <v>67275</v>
      </c>
      <c r="C39" s="29"/>
      <c r="D39" s="24"/>
      <c r="E39" s="24">
        <v>100912</v>
      </c>
      <c r="F39" s="24">
        <v>28462</v>
      </c>
      <c r="G39" s="24">
        <v>12937</v>
      </c>
      <c r="H39" s="24"/>
      <c r="I39" s="26">
        <v>64687</v>
      </c>
      <c r="J39" s="27"/>
      <c r="K39" s="24">
        <v>62100</v>
      </c>
      <c r="L39" s="24">
        <v>24150</v>
      </c>
      <c r="M39" s="24"/>
      <c r="N39" s="24"/>
      <c r="O39" s="24"/>
      <c r="P39" s="24">
        <v>56350</v>
      </c>
      <c r="Q39" s="25">
        <f t="shared" si="10"/>
        <v>416873</v>
      </c>
    </row>
    <row r="40" spans="1:18" x14ac:dyDescent="0.25">
      <c r="A40" s="23" t="s">
        <v>50</v>
      </c>
      <c r="B40" s="24">
        <v>62100</v>
      </c>
      <c r="C40" s="24">
        <v>7762</v>
      </c>
      <c r="D40" s="24"/>
      <c r="E40" s="24">
        <v>100912</v>
      </c>
      <c r="F40" s="24">
        <v>22178</v>
      </c>
      <c r="G40" s="24">
        <v>23287</v>
      </c>
      <c r="H40" s="24"/>
      <c r="I40" s="26">
        <v>67275</v>
      </c>
      <c r="J40" s="27"/>
      <c r="K40" s="24">
        <v>62100</v>
      </c>
      <c r="L40" s="24">
        <v>46000</v>
      </c>
      <c r="M40" s="24"/>
      <c r="N40" s="24"/>
      <c r="O40" s="24"/>
      <c r="P40" s="24">
        <v>62621</v>
      </c>
      <c r="Q40" s="25">
        <f t="shared" si="10"/>
        <v>454235</v>
      </c>
    </row>
    <row r="41" spans="1:18" x14ac:dyDescent="0.25">
      <c r="A41" s="23" t="s">
        <v>51</v>
      </c>
      <c r="B41" s="24"/>
      <c r="C41" s="24"/>
      <c r="D41" s="24"/>
      <c r="E41" s="24"/>
      <c r="F41" s="24"/>
      <c r="G41" s="24"/>
      <c r="H41" s="24"/>
      <c r="I41" s="26"/>
      <c r="J41" s="27"/>
      <c r="K41" s="24"/>
      <c r="L41" s="24"/>
      <c r="M41" s="24"/>
      <c r="N41" s="24"/>
      <c r="O41" s="24"/>
      <c r="P41" s="24"/>
      <c r="Q41" s="25">
        <f t="shared" si="10"/>
        <v>0</v>
      </c>
    </row>
    <row r="42" spans="1:18" x14ac:dyDescent="0.25">
      <c r="A42" s="23" t="s">
        <v>52</v>
      </c>
      <c r="B42" s="24"/>
      <c r="C42" s="24"/>
      <c r="D42" s="24"/>
      <c r="E42" s="24"/>
      <c r="F42" s="24"/>
      <c r="G42" s="24"/>
      <c r="H42" s="24"/>
      <c r="I42" s="26"/>
      <c r="J42" s="27"/>
      <c r="K42" s="24"/>
      <c r="L42" s="24"/>
      <c r="M42" s="24"/>
      <c r="N42" s="24"/>
      <c r="O42" s="24"/>
      <c r="P42" s="24"/>
      <c r="Q42" s="25">
        <f t="shared" si="10"/>
        <v>0</v>
      </c>
    </row>
    <row r="43" spans="1:18" x14ac:dyDescent="0.25">
      <c r="A43" s="23" t="s">
        <v>53</v>
      </c>
      <c r="B43" s="24"/>
      <c r="C43" s="24"/>
      <c r="D43" s="24"/>
      <c r="E43" s="24"/>
      <c r="F43" s="24"/>
      <c r="G43" s="24"/>
      <c r="H43" s="24"/>
      <c r="I43" s="26"/>
      <c r="J43" s="30"/>
      <c r="K43" s="31"/>
      <c r="L43" s="31"/>
      <c r="M43" s="31"/>
      <c r="N43" s="31"/>
      <c r="O43" s="31"/>
      <c r="P43" s="32"/>
      <c r="Q43" s="25">
        <f t="shared" si="10"/>
        <v>0</v>
      </c>
    </row>
    <row r="44" spans="1:18" x14ac:dyDescent="0.25">
      <c r="A44" s="23"/>
      <c r="B44" s="24"/>
      <c r="C44" s="24"/>
      <c r="D44" s="24"/>
      <c r="E44" s="24"/>
      <c r="F44" s="24"/>
      <c r="G44" s="24"/>
      <c r="H44" s="24"/>
      <c r="I44" s="26"/>
      <c r="J44" s="30"/>
      <c r="K44" s="31"/>
      <c r="L44" s="31"/>
      <c r="M44" s="31"/>
      <c r="N44" s="31"/>
      <c r="O44" s="31"/>
      <c r="P44" s="32"/>
      <c r="Q44" s="33">
        <f t="shared" si="10"/>
        <v>0</v>
      </c>
    </row>
    <row r="45" spans="1:18" x14ac:dyDescent="0.25">
      <c r="A45" s="3" t="s">
        <v>54</v>
      </c>
      <c r="B45" s="34">
        <f t="shared" ref="B45:P45" si="11">SUM(B20:B44)</f>
        <v>1523661</v>
      </c>
      <c r="C45" s="34">
        <f t="shared" si="11"/>
        <v>380213</v>
      </c>
      <c r="D45" s="34">
        <f t="shared" si="11"/>
        <v>0</v>
      </c>
      <c r="E45" s="34">
        <f t="shared" si="11"/>
        <v>2216932</v>
      </c>
      <c r="F45" s="34">
        <f t="shared" si="11"/>
        <v>507331</v>
      </c>
      <c r="G45" s="34">
        <f t="shared" si="11"/>
        <v>445675</v>
      </c>
      <c r="H45" s="34">
        <f t="shared" si="11"/>
        <v>130236</v>
      </c>
      <c r="I45" s="34">
        <f t="shared" si="11"/>
        <v>1517554</v>
      </c>
      <c r="J45" s="34">
        <f t="shared" si="11"/>
        <v>100000</v>
      </c>
      <c r="K45" s="34">
        <f t="shared" si="11"/>
        <v>1412404</v>
      </c>
      <c r="L45" s="34">
        <f t="shared" si="11"/>
        <v>384864</v>
      </c>
      <c r="M45" s="34">
        <f t="shared" si="11"/>
        <v>0</v>
      </c>
      <c r="N45" s="34">
        <f t="shared" si="11"/>
        <v>158391</v>
      </c>
      <c r="O45" s="34">
        <f t="shared" si="11"/>
        <v>153974</v>
      </c>
      <c r="P45" s="34">
        <f t="shared" si="11"/>
        <v>1062165</v>
      </c>
      <c r="Q45" s="34">
        <f t="shared" si="10"/>
        <v>9993400</v>
      </c>
    </row>
    <row r="46" spans="1:18" ht="15" customHeight="1" x14ac:dyDescent="0.25">
      <c r="A46" s="9" t="s">
        <v>55</v>
      </c>
      <c r="B46" s="35">
        <f>+B45/12</f>
        <v>126971.75</v>
      </c>
      <c r="C46" s="35">
        <f t="shared" ref="C46:P46" si="12">+C45/12</f>
        <v>31684.416666666668</v>
      </c>
      <c r="D46" s="35">
        <f t="shared" si="12"/>
        <v>0</v>
      </c>
      <c r="E46" s="35">
        <f t="shared" si="12"/>
        <v>184744.33333333334</v>
      </c>
      <c r="F46" s="35">
        <f t="shared" si="12"/>
        <v>42277.583333333336</v>
      </c>
      <c r="G46" s="35">
        <f t="shared" si="12"/>
        <v>37139.583333333336</v>
      </c>
      <c r="H46" s="35">
        <f t="shared" si="12"/>
        <v>10853</v>
      </c>
      <c r="I46" s="35">
        <f t="shared" si="12"/>
        <v>126462.83333333333</v>
      </c>
      <c r="J46" s="36">
        <f t="shared" si="12"/>
        <v>8333.3333333333339</v>
      </c>
      <c r="K46" s="36">
        <f t="shared" si="12"/>
        <v>117700.33333333333</v>
      </c>
      <c r="L46" s="36">
        <f t="shared" si="12"/>
        <v>32072</v>
      </c>
      <c r="M46" s="36">
        <f t="shared" si="12"/>
        <v>0</v>
      </c>
      <c r="N46" s="36">
        <f t="shared" si="12"/>
        <v>13199.25</v>
      </c>
      <c r="O46" s="36">
        <f t="shared" si="12"/>
        <v>12831.166666666666</v>
      </c>
      <c r="P46" s="36">
        <f t="shared" si="12"/>
        <v>88513.75</v>
      </c>
      <c r="Q46" s="35">
        <f t="shared" si="10"/>
        <v>832783.33333333337</v>
      </c>
      <c r="R46" s="37"/>
    </row>
    <row r="47" spans="1:18" x14ac:dyDescent="0.25">
      <c r="A47" s="38" t="s">
        <v>56</v>
      </c>
      <c r="B47" s="39">
        <f t="shared" ref="B47:P47" si="13">+B17+B46</f>
        <v>476207.35</v>
      </c>
      <c r="C47" s="39">
        <f t="shared" si="13"/>
        <v>380920.01666666666</v>
      </c>
      <c r="D47" s="39">
        <f t="shared" si="13"/>
        <v>0</v>
      </c>
      <c r="E47" s="39">
        <f t="shared" si="13"/>
        <v>533979.93333333335</v>
      </c>
      <c r="F47" s="39">
        <f t="shared" si="13"/>
        <v>391513.18333333329</v>
      </c>
      <c r="G47" s="39">
        <f t="shared" si="13"/>
        <v>368885.35333333327</v>
      </c>
      <c r="H47" s="39">
        <f t="shared" si="13"/>
        <v>325669.94</v>
      </c>
      <c r="I47" s="40">
        <f t="shared" si="13"/>
        <v>475698.43333333329</v>
      </c>
      <c r="J47" s="40">
        <f t="shared" si="13"/>
        <v>508333.33333333331</v>
      </c>
      <c r="K47" s="40">
        <f t="shared" si="13"/>
        <v>466935.93333333329</v>
      </c>
      <c r="L47" s="40">
        <f t="shared" si="13"/>
        <v>381307.6</v>
      </c>
      <c r="M47" s="40">
        <f t="shared" si="13"/>
        <v>0</v>
      </c>
      <c r="N47" s="40">
        <f t="shared" si="13"/>
        <v>362434.85</v>
      </c>
      <c r="O47" s="40">
        <f t="shared" si="13"/>
        <v>362066.76666666666</v>
      </c>
      <c r="P47" s="40">
        <f t="shared" si="13"/>
        <v>437749.35</v>
      </c>
      <c r="Q47" s="41">
        <f>SUM(B47:P47)</f>
        <v>5471702.0433333321</v>
      </c>
    </row>
    <row r="48" spans="1:18" x14ac:dyDescent="0.25">
      <c r="A48" s="3" t="s">
        <v>57</v>
      </c>
      <c r="B48" s="34">
        <f t="shared" ref="B48:P48" si="14">+B7+B11+B15+B45</f>
        <v>5714488.1999999993</v>
      </c>
      <c r="C48" s="34">
        <f t="shared" si="14"/>
        <v>4571040.1999999993</v>
      </c>
      <c r="D48" s="34">
        <f t="shared" si="14"/>
        <v>0</v>
      </c>
      <c r="E48" s="34">
        <f t="shared" si="14"/>
        <v>6407759.1999999993</v>
      </c>
      <c r="F48" s="34">
        <f t="shared" si="14"/>
        <v>4698158.1999999993</v>
      </c>
      <c r="G48" s="34">
        <f t="shared" si="14"/>
        <v>4426624.24</v>
      </c>
      <c r="H48" s="34">
        <f t="shared" si="14"/>
        <v>3908039.28</v>
      </c>
      <c r="I48" s="34">
        <f t="shared" si="14"/>
        <v>5708381.1999999993</v>
      </c>
      <c r="J48" s="34">
        <f t="shared" si="14"/>
        <v>6100000</v>
      </c>
      <c r="K48" s="34">
        <f t="shared" si="14"/>
        <v>5603231.1999999993</v>
      </c>
      <c r="L48" s="34">
        <f t="shared" si="14"/>
        <v>4575691.1999999993</v>
      </c>
      <c r="M48" s="34">
        <f t="shared" si="14"/>
        <v>0</v>
      </c>
      <c r="N48" s="34">
        <f t="shared" si="14"/>
        <v>4349218.1999999993</v>
      </c>
      <c r="O48" s="34">
        <f t="shared" si="14"/>
        <v>4344801.1999999993</v>
      </c>
      <c r="P48" s="34">
        <f t="shared" si="14"/>
        <v>5252992.1999999993</v>
      </c>
      <c r="Q48" s="34">
        <f t="shared" si="10"/>
        <v>65660424.520000011</v>
      </c>
    </row>
    <row r="49" spans="1:17" x14ac:dyDescent="0.25">
      <c r="A49" s="42" t="s">
        <v>58</v>
      </c>
      <c r="B49" s="43">
        <f t="shared" ref="B49:P49" si="15">+B7+B11+B15+B45+B50</f>
        <v>5714488.1999999993</v>
      </c>
      <c r="C49" s="43">
        <f t="shared" si="15"/>
        <v>4571040.1999999993</v>
      </c>
      <c r="D49" s="43">
        <f t="shared" si="15"/>
        <v>0</v>
      </c>
      <c r="E49" s="43">
        <f t="shared" si="15"/>
        <v>6407759.1999999993</v>
      </c>
      <c r="F49" s="43">
        <f t="shared" si="15"/>
        <v>4698158.1999999993</v>
      </c>
      <c r="G49" s="43">
        <f t="shared" si="15"/>
        <v>4426624.24</v>
      </c>
      <c r="H49" s="43">
        <f t="shared" si="15"/>
        <v>3908039.28</v>
      </c>
      <c r="I49" s="43">
        <f t="shared" si="15"/>
        <v>5708381.1999999993</v>
      </c>
      <c r="J49" s="43">
        <f t="shared" si="15"/>
        <v>6100000</v>
      </c>
      <c r="K49" s="43">
        <f t="shared" si="15"/>
        <v>5603231.1999999993</v>
      </c>
      <c r="L49" s="43">
        <f t="shared" si="15"/>
        <v>4575691.1999999993</v>
      </c>
      <c r="M49" s="43">
        <f t="shared" si="15"/>
        <v>0</v>
      </c>
      <c r="N49" s="43">
        <f t="shared" si="15"/>
        <v>4349218.1999999993</v>
      </c>
      <c r="O49" s="43">
        <f t="shared" si="15"/>
        <v>4344801.1999999993</v>
      </c>
      <c r="P49" s="43">
        <f t="shared" si="15"/>
        <v>5252992.1999999993</v>
      </c>
      <c r="Q49" s="43">
        <f t="shared" si="10"/>
        <v>65660424.520000011</v>
      </c>
    </row>
    <row r="50" spans="1:17" x14ac:dyDescent="0.25">
      <c r="A50" s="3" t="s">
        <v>59</v>
      </c>
      <c r="B50" s="44"/>
      <c r="C50" s="44"/>
      <c r="D50" s="44"/>
      <c r="E50" s="44"/>
      <c r="F50" s="44"/>
      <c r="G50" s="44"/>
      <c r="H50" s="44"/>
      <c r="I50" s="44"/>
      <c r="J50" s="45"/>
      <c r="K50" s="46"/>
      <c r="L50" s="46"/>
      <c r="M50" s="46"/>
      <c r="N50" s="46"/>
      <c r="O50" s="46"/>
      <c r="P50" s="46"/>
      <c r="Q50" s="47"/>
    </row>
    <row r="51" spans="1:17" x14ac:dyDescent="0.25">
      <c r="A51" s="3" t="s">
        <v>60</v>
      </c>
      <c r="B51" s="48">
        <f>+B5+B9+B13</f>
        <v>20</v>
      </c>
      <c r="C51" s="48">
        <f t="shared" ref="C51:P51" si="16">+C5+C9+C13</f>
        <v>20</v>
      </c>
      <c r="D51" s="48">
        <f t="shared" si="16"/>
        <v>0</v>
      </c>
      <c r="E51" s="48">
        <f t="shared" si="16"/>
        <v>20</v>
      </c>
      <c r="F51" s="48">
        <f t="shared" si="16"/>
        <v>20</v>
      </c>
      <c r="G51" s="48">
        <f>+G5+G9+G13</f>
        <v>19</v>
      </c>
      <c r="H51" s="48">
        <f t="shared" si="16"/>
        <v>18</v>
      </c>
      <c r="I51" s="48">
        <f t="shared" si="16"/>
        <v>20</v>
      </c>
      <c r="J51" s="48">
        <f t="shared" si="16"/>
        <v>20</v>
      </c>
      <c r="K51" s="48">
        <f t="shared" si="16"/>
        <v>20</v>
      </c>
      <c r="L51" s="48">
        <f t="shared" si="16"/>
        <v>20</v>
      </c>
      <c r="M51" s="48">
        <f t="shared" si="16"/>
        <v>0</v>
      </c>
      <c r="N51" s="48">
        <f t="shared" si="16"/>
        <v>20</v>
      </c>
      <c r="O51" s="48">
        <f t="shared" si="16"/>
        <v>20</v>
      </c>
      <c r="P51" s="48">
        <f t="shared" si="16"/>
        <v>20</v>
      </c>
      <c r="Q51" s="49"/>
    </row>
    <row r="52" spans="1:17" ht="15.75" thickBot="1" x14ac:dyDescent="0.3">
      <c r="B52" s="50" t="s">
        <v>61</v>
      </c>
      <c r="C52" s="51" t="s">
        <v>3</v>
      </c>
      <c r="D52" s="51" t="s">
        <v>62</v>
      </c>
      <c r="E52" s="51" t="s">
        <v>4</v>
      </c>
      <c r="F52" s="51" t="s">
        <v>63</v>
      </c>
      <c r="G52" s="51" t="s">
        <v>6</v>
      </c>
      <c r="H52" s="51" t="s">
        <v>7</v>
      </c>
      <c r="I52" s="51" t="s">
        <v>64</v>
      </c>
      <c r="J52" s="51" t="s">
        <v>9</v>
      </c>
      <c r="K52" s="51" t="s">
        <v>10</v>
      </c>
      <c r="L52" s="51" t="s">
        <v>65</v>
      </c>
      <c r="M52" s="51"/>
      <c r="N52" s="51" t="s">
        <v>66</v>
      </c>
      <c r="O52" s="51" t="s">
        <v>13</v>
      </c>
      <c r="P52" s="51" t="s">
        <v>14</v>
      </c>
      <c r="Q52" s="52"/>
    </row>
    <row r="53" spans="1:17" ht="82.5" customHeight="1" thickTop="1" thickBot="1" x14ac:dyDescent="0.35">
      <c r="A53" s="53" t="s">
        <v>67</v>
      </c>
      <c r="B53" s="54"/>
      <c r="C53" s="55"/>
      <c r="D53" s="54"/>
      <c r="E53" s="55"/>
      <c r="F53" s="55"/>
      <c r="G53" s="54" t="s">
        <v>68</v>
      </c>
      <c r="H53" s="56"/>
      <c r="I53" s="57"/>
      <c r="J53" s="54"/>
      <c r="K53" s="54"/>
      <c r="L53" s="54"/>
      <c r="M53" s="54"/>
      <c r="N53" s="54"/>
      <c r="O53" s="54"/>
      <c r="P53" s="54"/>
      <c r="Q53" s="54"/>
    </row>
    <row r="54" spans="1:17" ht="15.75" thickTop="1" x14ac:dyDescent="0.25"/>
  </sheetData>
  <mergeCells count="2">
    <mergeCell ref="A1:P1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Repuestos</dc:creator>
  <cp:lastModifiedBy>Repuestos</cp:lastModifiedBy>
  <dcterms:created xsi:type="dcterms:W3CDTF">2026-10-17T20:30:53Z</dcterms:created>
  <dcterms:modified xsi:type="dcterms:W3CDTF">2026-10-17T20:33:04Z</dcterms:modified>
</cp:coreProperties>
</file>