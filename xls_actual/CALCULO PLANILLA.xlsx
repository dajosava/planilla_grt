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sol\Downloads\"/>
    </mc:Choice>
  </mc:AlternateContent>
  <xr:revisionPtr revIDLastSave="0" documentId="13_ncr:1_{E790008A-8D7E-40DB-AA9F-CC96E9700F39}" xr6:coauthVersionLast="47" xr6:coauthVersionMax="47" xr10:uidLastSave="{00000000-0000-0000-0000-000000000000}"/>
  <bookViews>
    <workbookView xWindow="-120" yWindow="-120" windowWidth="20730" windowHeight="11040" xr2:uid="{B36E0C8A-EB14-452F-8066-446EA45F39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30" i="1" s="1"/>
  <c r="E21" i="1"/>
  <c r="B20" i="1"/>
  <c r="D20" i="1" s="1"/>
  <c r="I19" i="1"/>
  <c r="B19" i="1"/>
  <c r="D19" i="1" s="1"/>
  <c r="B18" i="1"/>
  <c r="I18" i="1" s="1"/>
  <c r="B17" i="1"/>
  <c r="I17" i="1" s="1"/>
  <c r="I16" i="1"/>
  <c r="B16" i="1"/>
  <c r="E16" i="1" s="1"/>
  <c r="F16" i="1" s="1"/>
  <c r="B15" i="1"/>
  <c r="I15" i="1" s="1"/>
  <c r="I14" i="1"/>
  <c r="E14" i="1"/>
  <c r="F14" i="1" s="1"/>
  <c r="D14" i="1"/>
  <c r="B14" i="1"/>
  <c r="B13" i="1"/>
  <c r="I13" i="1" s="1"/>
  <c r="B12" i="1"/>
  <c r="I12" i="1" s="1"/>
  <c r="I11" i="1"/>
  <c r="E11" i="1"/>
  <c r="F11" i="1" s="1"/>
  <c r="D11" i="1"/>
  <c r="B11" i="1"/>
  <c r="B10" i="1"/>
  <c r="I10" i="1" s="1"/>
  <c r="B9" i="1"/>
  <c r="E9" i="1" s="1"/>
  <c r="F9" i="1" s="1"/>
  <c r="I8" i="1"/>
  <c r="F8" i="1"/>
  <c r="E8" i="1"/>
  <c r="B8" i="1"/>
  <c r="D8" i="1" s="1"/>
  <c r="G16" i="1" l="1"/>
  <c r="H16" i="1" s="1"/>
  <c r="G11" i="1"/>
  <c r="H11" i="1" s="1"/>
  <c r="G14" i="1"/>
  <c r="H14" i="1" s="1"/>
  <c r="G9" i="1"/>
  <c r="H9" i="1" s="1"/>
  <c r="D17" i="1"/>
  <c r="D9" i="1"/>
  <c r="D25" i="1" s="1"/>
  <c r="D12" i="1"/>
  <c r="D15" i="1"/>
  <c r="D18" i="1"/>
  <c r="E18" i="1"/>
  <c r="F18" i="1" s="1"/>
  <c r="I9" i="1"/>
  <c r="I25" i="1" s="1"/>
  <c r="E19" i="1"/>
  <c r="F19" i="1" s="1"/>
  <c r="G8" i="1"/>
  <c r="E17" i="1"/>
  <c r="F17" i="1" s="1"/>
  <c r="E20" i="1"/>
  <c r="F20" i="1" s="1"/>
  <c r="E12" i="1"/>
  <c r="F12" i="1" s="1"/>
  <c r="I20" i="1"/>
  <c r="E15" i="1"/>
  <c r="F15" i="1" s="1"/>
  <c r="D10" i="1"/>
  <c r="E10" i="1"/>
  <c r="F10" i="1" s="1"/>
  <c r="D13" i="1"/>
  <c r="E13" i="1"/>
  <c r="F13" i="1" s="1"/>
  <c r="D16" i="1"/>
  <c r="G13" i="1" l="1"/>
  <c r="H13" i="1" s="1"/>
  <c r="H19" i="1"/>
  <c r="G19" i="1"/>
  <c r="G18" i="1"/>
  <c r="H18" i="1" s="1"/>
  <c r="H8" i="1"/>
  <c r="G15" i="1"/>
  <c r="H15" i="1" s="1"/>
  <c r="G10" i="1"/>
  <c r="G25" i="1" s="1"/>
  <c r="F25" i="1"/>
  <c r="G12" i="1"/>
  <c r="H12" i="1" s="1"/>
  <c r="G20" i="1"/>
  <c r="H20" i="1"/>
  <c r="G17" i="1"/>
  <c r="H17" i="1"/>
  <c r="H10" i="1" l="1"/>
  <c r="H25" i="1"/>
</calcChain>
</file>

<file path=xl/sharedStrings.xml><?xml version="1.0" encoding="utf-8"?>
<sst xmlns="http://schemas.openxmlformats.org/spreadsheetml/2006/main" count="40" uniqueCount="39">
  <si>
    <t>GASOLINERA RIO TEMPISQUE, S.A.</t>
  </si>
  <si>
    <t xml:space="preserve">PLANILLA QUINCENAL </t>
  </si>
  <si>
    <t>AÑO 2026</t>
  </si>
  <si>
    <t xml:space="preserve">Salario  </t>
  </si>
  <si>
    <t>DEVENGADO</t>
  </si>
  <si>
    <t>DEDUCCIONES</t>
  </si>
  <si>
    <t>base</t>
  </si>
  <si>
    <t>ORDINARIO</t>
  </si>
  <si>
    <t>Valor por</t>
  </si>
  <si>
    <t>Total</t>
  </si>
  <si>
    <t>C.C.S.S.</t>
  </si>
  <si>
    <t>QUINCENAL</t>
  </si>
  <si>
    <t>JORNADA</t>
  </si>
  <si>
    <t># Cédula</t>
  </si>
  <si>
    <t>mensual: Cajero</t>
  </si>
  <si>
    <t>Hrs.</t>
  </si>
  <si>
    <t>hora</t>
  </si>
  <si>
    <t>QUINCENA</t>
  </si>
  <si>
    <t>NETO</t>
  </si>
  <si>
    <t xml:space="preserve">DIARIA </t>
  </si>
  <si>
    <t xml:space="preserve">7-02490683            ADAN CASTILLO </t>
  </si>
  <si>
    <t xml:space="preserve">5-04510453           BRYAN </t>
  </si>
  <si>
    <t>5-0260-0631          GATO</t>
  </si>
  <si>
    <t>5-0409-0479           JEISON</t>
  </si>
  <si>
    <t xml:space="preserve">5- 04630917           PABLO    </t>
  </si>
  <si>
    <t>5-0343-0066           MAIKOL</t>
  </si>
  <si>
    <t>5-0273-0431            MAINOR</t>
  </si>
  <si>
    <t xml:space="preserve">5-0400-0030           JOSE LUIS </t>
  </si>
  <si>
    <t xml:space="preserve">5-0408-0782            DIXON </t>
  </si>
  <si>
    <t>1-19700143              EMMANUELLE</t>
  </si>
  <si>
    <t xml:space="preserve">5-04420346              DRODYN </t>
  </si>
  <si>
    <t xml:space="preserve">5-01970622            ELMER </t>
  </si>
  <si>
    <t>TOTALES         &gt;&gt;&gt;&gt;&gt;&gt;&gt;&gt;&gt;&gt;&gt;&gt;&gt;&gt;</t>
  </si>
  <si>
    <t>ACTUAL</t>
  </si>
  <si>
    <t xml:space="preserve">ANTERIOR </t>
  </si>
  <si>
    <t>INCREMENTO</t>
  </si>
  <si>
    <t>PORCENTAJE DE INCREMENTO</t>
  </si>
  <si>
    <t xml:space="preserve">1-118910563         JEFFERSON          </t>
  </si>
  <si>
    <t xml:space="preserve">5-04350789               LUIS FERNANDO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</si>
</sst>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₡-140A]* #,##0.00_-;\-[$₡-140A]* #,##0.00_-;_-[$₡-140A]* &quot;-&quot;??_-;_-@_-"/>
    <numFmt numFmtId="165" formatCode="_-[$₡-140A]* #,##0_-;\-[$₡-140A]* #,##0_-;_-[$₡-140A]* &quot;-&quot;??_-;_-@_-"/>
  </numFmts>
  <fonts count="10" x14ac:knownFonts="1">
    <font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2" xfId="0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0" fontId="3" fillId="2" borderId="10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wrapText="1"/>
    </xf>
    <xf numFmtId="164" fontId="4" fillId="3" borderId="12" xfId="0" applyNumberFormat="1" applyFont="1" applyFill="1" applyBorder="1"/>
    <xf numFmtId="0" fontId="4" fillId="3" borderId="12" xfId="0" applyFont="1" applyFill="1" applyBorder="1"/>
    <xf numFmtId="165" fontId="4" fillId="3" borderId="12" xfId="0" applyNumberFormat="1" applyFont="1" applyFill="1" applyBorder="1"/>
    <xf numFmtId="164" fontId="4" fillId="3" borderId="13" xfId="0" applyNumberFormat="1" applyFont="1" applyFill="1" applyBorder="1"/>
    <xf numFmtId="0" fontId="3" fillId="3" borderId="11" xfId="0" applyFont="1" applyFill="1" applyBorder="1"/>
    <xf numFmtId="164" fontId="5" fillId="3" borderId="12" xfId="0" applyNumberFormat="1" applyFont="1" applyFill="1" applyBorder="1"/>
    <xf numFmtId="0" fontId="3" fillId="3" borderId="14" xfId="0" applyFont="1" applyFill="1" applyBorder="1"/>
    <xf numFmtId="164" fontId="5" fillId="3" borderId="14" xfId="0" applyNumberFormat="1" applyFont="1" applyFill="1" applyBorder="1"/>
    <xf numFmtId="165" fontId="5" fillId="3" borderId="14" xfId="0" applyNumberFormat="1" applyFont="1" applyFill="1" applyBorder="1"/>
    <xf numFmtId="164" fontId="4" fillId="3" borderId="15" xfId="0" applyNumberFormat="1" applyFont="1" applyFill="1" applyBorder="1"/>
    <xf numFmtId="164" fontId="3" fillId="3" borderId="14" xfId="0" applyNumberFormat="1" applyFont="1" applyFill="1" applyBorder="1"/>
    <xf numFmtId="164" fontId="4" fillId="3" borderId="14" xfId="0" applyNumberFormat="1" applyFont="1" applyFill="1" applyBorder="1"/>
    <xf numFmtId="0" fontId="5" fillId="3" borderId="11" xfId="0" applyFont="1" applyFill="1" applyBorder="1"/>
    <xf numFmtId="0" fontId="5" fillId="3" borderId="14" xfId="0" applyFont="1" applyFill="1" applyBorder="1"/>
    <xf numFmtId="164" fontId="4" fillId="3" borderId="16" xfId="0" applyNumberFormat="1" applyFont="1" applyFill="1" applyBorder="1"/>
    <xf numFmtId="165" fontId="4" fillId="3" borderId="14" xfId="0" applyNumberFormat="1" applyFont="1" applyFill="1" applyBorder="1"/>
    <xf numFmtId="0" fontId="6" fillId="3" borderId="11" xfId="0" applyFont="1" applyFill="1" applyBorder="1"/>
    <xf numFmtId="0" fontId="4" fillId="3" borderId="14" xfId="0" applyFont="1" applyFill="1" applyBorder="1"/>
    <xf numFmtId="165" fontId="3" fillId="3" borderId="14" xfId="0" applyNumberFormat="1" applyFont="1" applyFill="1" applyBorder="1"/>
    <xf numFmtId="164" fontId="4" fillId="3" borderId="17" xfId="0" applyNumberFormat="1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164" fontId="3" fillId="3" borderId="16" xfId="0" applyNumberFormat="1" applyFont="1" applyFill="1" applyBorder="1"/>
    <xf numFmtId="0" fontId="3" fillId="3" borderId="16" xfId="0" applyFont="1" applyFill="1" applyBorder="1"/>
    <xf numFmtId="0" fontId="7" fillId="3" borderId="1" xfId="0" applyFont="1" applyFill="1" applyBorder="1"/>
    <xf numFmtId="0" fontId="0" fillId="3" borderId="1" xfId="0" applyFill="1" applyBorder="1"/>
    <xf numFmtId="165" fontId="4" fillId="3" borderId="20" xfId="0" applyNumberFormat="1" applyFont="1" applyFill="1" applyBorder="1"/>
    <xf numFmtId="165" fontId="8" fillId="3" borderId="20" xfId="0" applyNumberFormat="1" applyFont="1" applyFill="1" applyBorder="1"/>
    <xf numFmtId="0" fontId="9" fillId="3" borderId="11" xfId="0" applyFont="1" applyFill="1" applyBorder="1"/>
    <xf numFmtId="164" fontId="9" fillId="3" borderId="11" xfId="0" applyNumberFormat="1" applyFont="1" applyFill="1" applyBorder="1"/>
    <xf numFmtId="164" fontId="9" fillId="3" borderId="0" xfId="0" applyNumberFormat="1" applyFont="1" applyFill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04F4-C495-4E50-83A6-696FC989F31C}">
  <dimension ref="A1:I30"/>
  <sheetViews>
    <sheetView tabSelected="1" topLeftCell="A4" workbookViewId="0">
      <selection activeCell="O18" sqref="O18"/>
    </sheetView>
  </sheetViews>
  <sheetFormatPr baseColWidth="10" defaultRowHeight="15" x14ac:dyDescent="0.25"/>
  <cols>
    <col min="1" max="1" width="24" customWidth="1"/>
    <col min="2" max="2" width="12.140625" customWidth="1"/>
    <col min="3" max="3" width="4.85546875" customWidth="1"/>
    <col min="4" max="4" width="10.85546875" customWidth="1"/>
    <col min="5" max="5" width="8.85546875" customWidth="1"/>
    <col min="6" max="6" width="9.42578125" customWidth="1"/>
    <col min="7" max="7" width="9.5703125" customWidth="1"/>
    <col min="8" max="8" width="9.42578125" customWidth="1"/>
    <col min="9" max="9" width="9.28515625" customWidth="1"/>
    <col min="10" max="10" width="9.42578125" customWidth="1"/>
  </cols>
  <sheetData>
    <row r="1" spans="1:9" ht="18.7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</row>
    <row r="2" spans="1:9" ht="17.25" customHeight="1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9" ht="19.5" customHeight="1" x14ac:dyDescent="0.25">
      <c r="A3" s="45" t="s">
        <v>2</v>
      </c>
      <c r="B3" s="45"/>
      <c r="C3" s="45"/>
      <c r="D3" s="45"/>
      <c r="E3" s="45"/>
      <c r="F3" s="45"/>
      <c r="G3" s="45"/>
      <c r="H3" s="45"/>
      <c r="I3" s="45"/>
    </row>
    <row r="4" spans="1:9" ht="15.75" thickBot="1" x14ac:dyDescent="0.3">
      <c r="A4" s="46"/>
      <c r="B4" s="46"/>
      <c r="C4" s="46"/>
      <c r="D4" s="46"/>
      <c r="E4" s="46"/>
      <c r="F4" s="46"/>
      <c r="G4" s="46"/>
      <c r="H4" s="46"/>
      <c r="I4" s="46"/>
    </row>
    <row r="5" spans="1:9" ht="14.25" customHeight="1" thickTop="1" x14ac:dyDescent="0.25">
      <c r="A5" s="1"/>
      <c r="B5" s="2" t="s">
        <v>3</v>
      </c>
      <c r="C5" s="47" t="s">
        <v>4</v>
      </c>
      <c r="D5" s="47"/>
      <c r="E5" s="47"/>
      <c r="F5" s="47"/>
      <c r="G5" s="48" t="s">
        <v>5</v>
      </c>
      <c r="H5" s="49"/>
      <c r="I5" s="49"/>
    </row>
    <row r="6" spans="1:9" x14ac:dyDescent="0.25">
      <c r="A6" s="3"/>
      <c r="B6" s="4" t="s">
        <v>6</v>
      </c>
      <c r="C6" s="43" t="s">
        <v>7</v>
      </c>
      <c r="D6" s="44"/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 spans="1:9" x14ac:dyDescent="0.25">
      <c r="A7" s="6" t="s">
        <v>13</v>
      </c>
      <c r="B7" s="7" t="s">
        <v>14</v>
      </c>
      <c r="C7" s="8" t="s">
        <v>15</v>
      </c>
      <c r="D7" s="8" t="s">
        <v>11</v>
      </c>
      <c r="E7" s="9" t="s">
        <v>16</v>
      </c>
      <c r="F7" s="9" t="s">
        <v>17</v>
      </c>
      <c r="G7" s="10">
        <v>0.10829999999999999</v>
      </c>
      <c r="H7" s="9" t="s">
        <v>18</v>
      </c>
      <c r="I7" s="9" t="s">
        <v>19</v>
      </c>
    </row>
    <row r="8" spans="1:9" x14ac:dyDescent="0.25">
      <c r="A8" s="11" t="s">
        <v>20</v>
      </c>
      <c r="B8" s="12">
        <f>+B27</f>
        <v>419755.93</v>
      </c>
      <c r="C8" s="13">
        <v>212.94</v>
      </c>
      <c r="D8" s="12">
        <f>B8/2</f>
        <v>209877.965</v>
      </c>
      <c r="E8" s="14">
        <f>+B8/C8</f>
        <v>1971.2403963557811</v>
      </c>
      <c r="F8" s="14">
        <f t="shared" ref="F8:F20" si="0">+C8*E8/2</f>
        <v>209877.965</v>
      </c>
      <c r="G8" s="15">
        <f>+F8*10.83%</f>
        <v>22729.783609500002</v>
      </c>
      <c r="H8" s="14">
        <f>+F8-G8</f>
        <v>187148.18139049999</v>
      </c>
      <c r="I8" s="14">
        <f>+B8/30.42</f>
        <v>13798.682774490466</v>
      </c>
    </row>
    <row r="9" spans="1:9" ht="15" customHeight="1" x14ac:dyDescent="0.25">
      <c r="A9" s="16" t="s">
        <v>21</v>
      </c>
      <c r="B9" s="17">
        <f>+B27</f>
        <v>419755.93</v>
      </c>
      <c r="C9" s="18">
        <v>243.36</v>
      </c>
      <c r="D9" s="19">
        <f t="shared" ref="D9:D20" si="1">B9/2</f>
        <v>209877.965</v>
      </c>
      <c r="E9" s="20">
        <f>+B9/C9</f>
        <v>1724.8353468113082</v>
      </c>
      <c r="F9" s="20">
        <f t="shared" si="0"/>
        <v>209877.965</v>
      </c>
      <c r="G9" s="21">
        <f t="shared" ref="G9:G20" si="2">+F9*10.83%</f>
        <v>22729.783609500002</v>
      </c>
      <c r="H9" s="20">
        <f t="shared" ref="H9:H20" si="3">+F9-G9</f>
        <v>187148.18139049999</v>
      </c>
      <c r="I9" s="14">
        <f t="shared" ref="I9:I20" si="4">+B9/30.42</f>
        <v>13798.682774490466</v>
      </c>
    </row>
    <row r="10" spans="1:9" ht="15" customHeight="1" x14ac:dyDescent="0.25">
      <c r="A10" s="16" t="s">
        <v>22</v>
      </c>
      <c r="B10" s="22">
        <f>+B27</f>
        <v>419755.93</v>
      </c>
      <c r="C10" s="18">
        <v>243.36</v>
      </c>
      <c r="D10" s="19">
        <f t="shared" si="1"/>
        <v>209877.965</v>
      </c>
      <c r="E10" s="20">
        <f t="shared" ref="E10:E14" si="5">+B10/C10</f>
        <v>1724.8353468113082</v>
      </c>
      <c r="F10" s="20">
        <f t="shared" si="0"/>
        <v>209877.965</v>
      </c>
      <c r="G10" s="21">
        <f t="shared" si="2"/>
        <v>22729.783609500002</v>
      </c>
      <c r="H10" s="20">
        <f t="shared" si="3"/>
        <v>187148.18139049999</v>
      </c>
      <c r="I10" s="14">
        <f t="shared" si="4"/>
        <v>13798.682774490466</v>
      </c>
    </row>
    <row r="11" spans="1:9" ht="15" customHeight="1" x14ac:dyDescent="0.25">
      <c r="A11" s="16" t="s">
        <v>23</v>
      </c>
      <c r="B11" s="22">
        <f>+B27</f>
        <v>419755.93</v>
      </c>
      <c r="C11" s="18">
        <v>243.36</v>
      </c>
      <c r="D11" s="19">
        <f t="shared" si="1"/>
        <v>209877.965</v>
      </c>
      <c r="E11" s="20">
        <f t="shared" si="5"/>
        <v>1724.8353468113082</v>
      </c>
      <c r="F11" s="20">
        <f t="shared" si="0"/>
        <v>209877.965</v>
      </c>
      <c r="G11" s="21">
        <f t="shared" si="2"/>
        <v>22729.783609500002</v>
      </c>
      <c r="H11" s="20">
        <f t="shared" si="3"/>
        <v>187148.18139049999</v>
      </c>
      <c r="I11" s="14">
        <f t="shared" si="4"/>
        <v>13798.682774490466</v>
      </c>
    </row>
    <row r="12" spans="1:9" ht="15" customHeight="1" x14ac:dyDescent="0.25">
      <c r="A12" s="16" t="s">
        <v>37</v>
      </c>
      <c r="B12" s="22">
        <f>+B27</f>
        <v>419755.93</v>
      </c>
      <c r="C12" s="18">
        <v>243.36</v>
      </c>
      <c r="D12" s="19">
        <f t="shared" si="1"/>
        <v>209877.965</v>
      </c>
      <c r="E12" s="20">
        <f t="shared" si="5"/>
        <v>1724.8353468113082</v>
      </c>
      <c r="F12" s="20">
        <f t="shared" si="0"/>
        <v>209877.965</v>
      </c>
      <c r="G12" s="21">
        <f t="shared" si="2"/>
        <v>22729.783609500002</v>
      </c>
      <c r="H12" s="20">
        <f t="shared" si="3"/>
        <v>187148.18139049999</v>
      </c>
      <c r="I12" s="14">
        <f t="shared" si="4"/>
        <v>13798.682774490466</v>
      </c>
    </row>
    <row r="13" spans="1:9" ht="15" customHeight="1" x14ac:dyDescent="0.25">
      <c r="A13" s="16" t="s">
        <v>24</v>
      </c>
      <c r="B13" s="22">
        <f>+B27</f>
        <v>419755.93</v>
      </c>
      <c r="C13" s="18">
        <v>243.36</v>
      </c>
      <c r="D13" s="19">
        <f t="shared" si="1"/>
        <v>209877.965</v>
      </c>
      <c r="E13" s="20">
        <f t="shared" si="5"/>
        <v>1724.8353468113082</v>
      </c>
      <c r="F13" s="20">
        <f t="shared" si="0"/>
        <v>209877.965</v>
      </c>
      <c r="G13" s="21">
        <f t="shared" si="2"/>
        <v>22729.783609500002</v>
      </c>
      <c r="H13" s="20">
        <f t="shared" si="3"/>
        <v>187148.18139049999</v>
      </c>
      <c r="I13" s="14">
        <f t="shared" si="4"/>
        <v>13798.682774490466</v>
      </c>
    </row>
    <row r="14" spans="1:9" ht="15" customHeight="1" x14ac:dyDescent="0.25">
      <c r="A14" s="16" t="s">
        <v>25</v>
      </c>
      <c r="B14" s="22">
        <f>+B27</f>
        <v>419755.93</v>
      </c>
      <c r="C14" s="18">
        <v>243.36</v>
      </c>
      <c r="D14" s="19">
        <f t="shared" si="1"/>
        <v>209877.965</v>
      </c>
      <c r="E14" s="20">
        <f t="shared" si="5"/>
        <v>1724.8353468113082</v>
      </c>
      <c r="F14" s="20">
        <f t="shared" si="0"/>
        <v>209877.965</v>
      </c>
      <c r="G14" s="23">
        <f t="shared" si="2"/>
        <v>22729.783609500002</v>
      </c>
      <c r="H14" s="20">
        <f t="shared" si="3"/>
        <v>187148.18139049999</v>
      </c>
      <c r="I14" s="14">
        <f t="shared" si="4"/>
        <v>13798.682774490466</v>
      </c>
    </row>
    <row r="15" spans="1:9" ht="15" customHeight="1" x14ac:dyDescent="0.25">
      <c r="A15" s="24" t="s">
        <v>26</v>
      </c>
      <c r="B15" s="19">
        <f>+B27</f>
        <v>419755.93</v>
      </c>
      <c r="C15" s="25">
        <v>243.36</v>
      </c>
      <c r="D15" s="19">
        <f t="shared" si="1"/>
        <v>209877.965</v>
      </c>
      <c r="E15" s="20">
        <f>+B15/C15</f>
        <v>1724.8353468113082</v>
      </c>
      <c r="F15" s="20">
        <f t="shared" si="0"/>
        <v>209877.965</v>
      </c>
      <c r="G15" s="26">
        <f t="shared" si="2"/>
        <v>22729.783609500002</v>
      </c>
      <c r="H15" s="27">
        <f t="shared" si="3"/>
        <v>187148.18139049999</v>
      </c>
      <c r="I15" s="14">
        <f t="shared" si="4"/>
        <v>13798.682774490466</v>
      </c>
    </row>
    <row r="16" spans="1:9" ht="15" customHeight="1" x14ac:dyDescent="0.25">
      <c r="A16" s="28" t="s">
        <v>27</v>
      </c>
      <c r="B16" s="23">
        <f>+B27</f>
        <v>419755.93</v>
      </c>
      <c r="C16" s="29">
        <v>182.52</v>
      </c>
      <c r="D16" s="22">
        <f t="shared" si="1"/>
        <v>209877.965</v>
      </c>
      <c r="E16" s="30">
        <f>+B16/C16</f>
        <v>2299.7804624150776</v>
      </c>
      <c r="F16" s="30">
        <f t="shared" si="0"/>
        <v>209877.965</v>
      </c>
      <c r="G16" s="26">
        <f t="shared" si="2"/>
        <v>22729.783609500002</v>
      </c>
      <c r="H16" s="30">
        <f t="shared" si="3"/>
        <v>187148.18139049999</v>
      </c>
      <c r="I16" s="14">
        <f t="shared" si="4"/>
        <v>13798.682774490466</v>
      </c>
    </row>
    <row r="17" spans="1:9" ht="15" customHeight="1" x14ac:dyDescent="0.25">
      <c r="A17" s="16" t="s">
        <v>28</v>
      </c>
      <c r="B17" s="22">
        <f>+B27</f>
        <v>419755.93</v>
      </c>
      <c r="C17" s="18">
        <v>243.36</v>
      </c>
      <c r="D17" s="19">
        <f t="shared" si="1"/>
        <v>209877.965</v>
      </c>
      <c r="E17" s="20">
        <f t="shared" ref="E17:E21" si="6">+B17/C17</f>
        <v>1724.8353468113082</v>
      </c>
      <c r="F17" s="20">
        <f t="shared" si="0"/>
        <v>209877.965</v>
      </c>
      <c r="G17" s="26">
        <f t="shared" si="2"/>
        <v>22729.783609500002</v>
      </c>
      <c r="H17" s="20">
        <f t="shared" si="3"/>
        <v>187148.18139049999</v>
      </c>
      <c r="I17" s="14">
        <f t="shared" si="4"/>
        <v>13798.682774490466</v>
      </c>
    </row>
    <row r="18" spans="1:9" ht="15" customHeight="1" x14ac:dyDescent="0.25">
      <c r="A18" s="16" t="s">
        <v>29</v>
      </c>
      <c r="B18" s="22">
        <f>+B27</f>
        <v>419755.93</v>
      </c>
      <c r="C18" s="18">
        <v>243.36</v>
      </c>
      <c r="D18" s="19">
        <f t="shared" si="1"/>
        <v>209877.965</v>
      </c>
      <c r="E18" s="20">
        <f t="shared" si="6"/>
        <v>1724.8353468113082</v>
      </c>
      <c r="F18" s="20">
        <f t="shared" si="0"/>
        <v>209877.965</v>
      </c>
      <c r="G18" s="26">
        <f t="shared" si="2"/>
        <v>22729.783609500002</v>
      </c>
      <c r="H18" s="20">
        <f t="shared" si="3"/>
        <v>187148.18139049999</v>
      </c>
      <c r="I18" s="14">
        <f t="shared" si="4"/>
        <v>13798.682774490466</v>
      </c>
    </row>
    <row r="19" spans="1:9" ht="15" customHeight="1" x14ac:dyDescent="0.25">
      <c r="A19" s="16" t="s">
        <v>30</v>
      </c>
      <c r="B19" s="22">
        <f>+B27</f>
        <v>419755.93</v>
      </c>
      <c r="C19" s="18">
        <v>243.36</v>
      </c>
      <c r="D19" s="19">
        <f t="shared" si="1"/>
        <v>209877.965</v>
      </c>
      <c r="E19" s="20">
        <f t="shared" si="6"/>
        <v>1724.8353468113082</v>
      </c>
      <c r="F19" s="20">
        <f t="shared" si="0"/>
        <v>209877.965</v>
      </c>
      <c r="G19" s="26">
        <f t="shared" si="2"/>
        <v>22729.783609500002</v>
      </c>
      <c r="H19" s="20">
        <f t="shared" si="3"/>
        <v>187148.18139049999</v>
      </c>
      <c r="I19" s="14">
        <f t="shared" si="4"/>
        <v>13798.682774490466</v>
      </c>
    </row>
    <row r="20" spans="1:9" ht="15" customHeight="1" x14ac:dyDescent="0.25">
      <c r="A20" s="16" t="s">
        <v>38</v>
      </c>
      <c r="B20" s="22">
        <f>+B27</f>
        <v>419755.93</v>
      </c>
      <c r="C20" s="18">
        <v>243.36</v>
      </c>
      <c r="D20" s="19">
        <f t="shared" si="1"/>
        <v>209877.965</v>
      </c>
      <c r="E20" s="20">
        <f t="shared" si="6"/>
        <v>1724.8353468113082</v>
      </c>
      <c r="F20" s="20">
        <f t="shared" si="0"/>
        <v>209877.965</v>
      </c>
      <c r="G20" s="31">
        <f t="shared" si="2"/>
        <v>22729.783609500002</v>
      </c>
      <c r="H20" s="20">
        <f t="shared" si="3"/>
        <v>187148.18139049999</v>
      </c>
      <c r="I20" s="14">
        <f t="shared" si="4"/>
        <v>13798.682774490466</v>
      </c>
    </row>
    <row r="21" spans="1:9" ht="15" customHeight="1" x14ac:dyDescent="0.25">
      <c r="A21" s="32" t="s">
        <v>31</v>
      </c>
      <c r="B21" s="22">
        <v>600000</v>
      </c>
      <c r="C21" s="18">
        <v>274</v>
      </c>
      <c r="D21" s="19">
        <v>300000</v>
      </c>
      <c r="E21" s="20">
        <f t="shared" si="6"/>
        <v>2189.7810218978102</v>
      </c>
      <c r="F21" s="20">
        <v>300000</v>
      </c>
      <c r="G21" s="19"/>
      <c r="H21" s="20">
        <v>300000</v>
      </c>
      <c r="I21" s="20"/>
    </row>
    <row r="22" spans="1:9" ht="15" customHeight="1" x14ac:dyDescent="0.25">
      <c r="A22" s="32"/>
      <c r="B22" s="22"/>
      <c r="C22" s="18"/>
      <c r="D22" s="19"/>
      <c r="E22" s="23"/>
      <c r="F22" s="19"/>
      <c r="G22" s="19"/>
      <c r="H22" s="20"/>
      <c r="I22" s="20"/>
    </row>
    <row r="23" spans="1:9" ht="15" customHeight="1" x14ac:dyDescent="0.25">
      <c r="A23" s="32"/>
      <c r="B23" s="22"/>
      <c r="C23" s="18"/>
      <c r="D23" s="19"/>
      <c r="E23" s="23"/>
      <c r="F23" s="19"/>
      <c r="G23" s="19"/>
      <c r="H23" s="20"/>
      <c r="I23" s="20"/>
    </row>
    <row r="24" spans="1:9" ht="16.5" customHeight="1" x14ac:dyDescent="0.25">
      <c r="A24" s="33"/>
      <c r="B24" s="34"/>
      <c r="C24" s="35"/>
      <c r="D24" s="34"/>
      <c r="E24" s="34"/>
      <c r="F24" s="34"/>
      <c r="G24" s="34"/>
      <c r="H24" s="34"/>
      <c r="I24" s="34"/>
    </row>
    <row r="25" spans="1:9" ht="15.75" thickBot="1" x14ac:dyDescent="0.3">
      <c r="A25" s="36" t="s">
        <v>32</v>
      </c>
      <c r="B25" s="37"/>
      <c r="C25" s="37"/>
      <c r="D25" s="38">
        <f>SUM(D8:D24)</f>
        <v>3028413.5449999999</v>
      </c>
      <c r="E25" s="39"/>
      <c r="F25" s="38">
        <f t="shared" ref="F25:I25" si="7">SUM(F8:F24)</f>
        <v>3028413.5449999999</v>
      </c>
      <c r="G25" s="38">
        <f t="shared" si="7"/>
        <v>295487.18692350003</v>
      </c>
      <c r="H25" s="38">
        <f t="shared" si="7"/>
        <v>2732926.3580764998</v>
      </c>
      <c r="I25" s="38">
        <f t="shared" si="7"/>
        <v>179382.87606837612</v>
      </c>
    </row>
    <row r="26" spans="1:9" ht="15.75" thickTop="1" x14ac:dyDescent="0.25"/>
    <row r="27" spans="1:9" x14ac:dyDescent="0.25">
      <c r="A27" s="40" t="s">
        <v>33</v>
      </c>
      <c r="B27" s="41">
        <v>419755.93</v>
      </c>
      <c r="D27" s="42"/>
    </row>
    <row r="28" spans="1:9" x14ac:dyDescent="0.25">
      <c r="A28" s="40" t="s">
        <v>34</v>
      </c>
      <c r="B28" s="41">
        <v>413023.64</v>
      </c>
    </row>
    <row r="29" spans="1:9" x14ac:dyDescent="0.25">
      <c r="A29" s="40" t="s">
        <v>35</v>
      </c>
      <c r="B29" s="41">
        <f>+B27-B28</f>
        <v>6732.289999999979</v>
      </c>
    </row>
    <row r="30" spans="1:9" x14ac:dyDescent="0.25">
      <c r="A30" s="40" t="s">
        <v>36</v>
      </c>
      <c r="B30" s="41">
        <f>+B29/B28*100</f>
        <v>1.6300011302016464</v>
      </c>
    </row>
  </sheetData>
  <mergeCells count="7">
    <mergeCell ref="C6:D6"/>
    <mergeCell ref="A1:I1"/>
    <mergeCell ref="A2:I2"/>
    <mergeCell ref="A3:I3"/>
    <mergeCell ref="A4:I4"/>
    <mergeCell ref="C5:F5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Repuestos</dc:creator>
  <cp:lastModifiedBy>cristhian barrantes</cp:lastModifiedBy>
  <dcterms:created xsi:type="dcterms:W3CDTF">2026-10-17T20:12:38Z</dcterms:created>
  <dcterms:modified xsi:type="dcterms:W3CDTF">2026-10-17T20:36:46Z</dcterms:modified>
</cp:coreProperties>
</file>